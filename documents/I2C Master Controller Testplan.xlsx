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835" documentId="13_ncr:1_{BBFA0613-4260-4D74-87D4-D5813C8E6E66}" xr6:coauthVersionLast="47" xr6:coauthVersionMax="47" xr10:uidLastSave="{1FEBE02B-F794-4C55-A959-B5746A35E57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F83" i="1"/>
  <c r="F82" i="1"/>
  <c r="F81" i="1"/>
  <c r="F80" i="1"/>
  <c r="F79" i="1"/>
  <c r="F78" i="1"/>
  <c r="F77" i="1"/>
  <c r="F71" i="1"/>
  <c r="F70" i="1"/>
  <c r="F69" i="1"/>
  <c r="F66" i="1"/>
  <c r="F65" i="1"/>
  <c r="F64" i="1"/>
  <c r="F63" i="1"/>
  <c r="F60" i="1"/>
  <c r="F59" i="1"/>
  <c r="F58" i="1"/>
  <c r="F55" i="1"/>
  <c r="F54" i="1"/>
  <c r="F51" i="1"/>
  <c r="F50" i="1"/>
  <c r="F49" i="1"/>
  <c r="F46" i="1"/>
  <c r="F45" i="1"/>
  <c r="F44" i="1"/>
  <c r="F41" i="1"/>
  <c r="F40" i="1"/>
  <c r="F39" i="1"/>
  <c r="F36" i="1"/>
  <c r="F35" i="1"/>
  <c r="F34" i="1"/>
  <c r="F33" i="1"/>
  <c r="F29" i="1"/>
  <c r="F15" i="1"/>
  <c r="F16" i="1"/>
  <c r="F17" i="1"/>
  <c r="F18" i="1"/>
  <c r="F19" i="1"/>
  <c r="F20" i="1"/>
  <c r="F21" i="1"/>
  <c r="F22" i="1"/>
  <c r="F25" i="1"/>
  <c r="F26" i="1"/>
  <c r="F27" i="1"/>
  <c r="F28" i="1"/>
  <c r="F30" i="1"/>
  <c r="F14" i="1"/>
  <c r="F9" i="1"/>
  <c r="F10" i="1"/>
  <c r="F11" i="1"/>
  <c r="F8" i="1"/>
</calcChain>
</file>

<file path=xl/sharedStrings.xml><?xml version="1.0" encoding="utf-8"?>
<sst xmlns="http://schemas.openxmlformats.org/spreadsheetml/2006/main" count="219" uniqueCount="161">
  <si>
    <t>No</t>
  </si>
  <si>
    <t>Test name</t>
  </si>
  <si>
    <t>Description</t>
  </si>
  <si>
    <t>Status</t>
  </si>
  <si>
    <t>Pass</t>
  </si>
  <si>
    <t>CHECKLIST SIMULATION</t>
  </si>
  <si>
    <t>0. Testbench Preparation</t>
  </si>
  <si>
    <t>I2C Slave Model</t>
  </si>
  <si>
    <t>- Hỗ trợ ACK/NACK có điều khiển
- Clock stretching
- Tùy chọn giữ bus bận (Busy)</t>
  </si>
  <si>
    <t>Undone</t>
  </si>
  <si>
    <t>Monitor/Scoreboard</t>
  </si>
  <si>
    <t>- Kiểm SDA và SCL theo chuẩn (SDA chỉ đổi khi SCL = LOW, START/STOP condition hợp lệ)</t>
  </si>
  <si>
    <t>Stimulus thanh ghi (Register)</t>
  </si>
  <si>
    <r>
      <t xml:space="preserve">- Task Read/Write các reg </t>
    </r>
    <r>
      <rPr>
        <b/>
        <sz val="12"/>
        <color theme="1"/>
        <rFont val="Calibri"/>
        <family val="2"/>
        <scheme val="minor"/>
      </rPr>
      <t>i_*</t>
    </r>
    <r>
      <rPr>
        <sz val="12"/>
        <color theme="1"/>
        <rFont val="Calibri"/>
        <family val="2"/>
        <scheme val="minor"/>
      </rPr>
      <t xml:space="preserve"> và đọc </t>
    </r>
    <r>
      <rPr>
        <b/>
        <sz val="12"/>
        <color theme="1"/>
        <rFont val="Calibri"/>
        <family val="2"/>
        <scheme val="minor"/>
      </rPr>
      <t>o_*</t>
    </r>
  </si>
  <si>
    <t>Đo SCL</t>
  </si>
  <si>
    <t>- Đo chu kỳ để kiểm tra 100 kHz (Standard) / 400 kHz (Fast)</t>
  </si>
  <si>
    <t>1. Register &amp; Signal</t>
  </si>
  <si>
    <r>
      <rPr>
        <b/>
        <sz val="12"/>
        <color theme="1"/>
        <rFont val="Calibri"/>
        <family val="2"/>
        <scheme val="minor"/>
      </rPr>
      <t xml:space="preserve">START </t>
    </r>
    <r>
      <rPr>
        <sz val="12"/>
        <color theme="1"/>
        <rFont val="Calibri"/>
        <family val="2"/>
        <scheme val="minor"/>
      </rPr>
      <t>bit tự clear sau khi Master chiếm bus</t>
    </r>
  </si>
  <si>
    <r>
      <t>1. Ghi</t>
    </r>
    <r>
      <rPr>
        <b/>
        <sz val="12"/>
        <color theme="1"/>
        <rFont val="Calibri"/>
        <family val="2"/>
        <scheme val="minor"/>
      </rPr>
      <t xml:space="preserve"> i_config_reg.START = 1 </t>
    </r>
    <r>
      <rPr>
        <sz val="12"/>
        <color theme="1"/>
        <rFont val="Calibri"/>
        <family val="2"/>
        <scheme val="minor"/>
      </rPr>
      <t xml:space="preserve">
2. Kiểm tra START có tự clear không, </t>
    </r>
    <r>
      <rPr>
        <b/>
        <sz val="12"/>
        <color theme="1"/>
        <rFont val="Calibri"/>
        <family val="2"/>
        <scheme val="minor"/>
      </rPr>
      <t>o_cmd_status_reg.I2C_BUSY=1</t>
    </r>
    <r>
      <rPr>
        <sz val="12"/>
        <color theme="1"/>
        <rFont val="Calibri"/>
        <family val="2"/>
        <scheme val="minor"/>
      </rPr>
      <t xml:space="preserve"> trước khi </t>
    </r>
    <r>
      <rPr>
        <b/>
        <sz val="12"/>
        <color theme="1"/>
        <rFont val="Calibri"/>
        <family val="2"/>
        <scheme val="minor"/>
      </rPr>
      <t>START</t>
    </r>
    <r>
      <rPr>
        <sz val="12"/>
        <color theme="1"/>
        <rFont val="Calibri"/>
        <family val="2"/>
        <scheme val="minor"/>
      </rPr>
      <t xml:space="preserve"> xuống LOW.
</t>
    </r>
  </si>
  <si>
    <t>Pass Condition</t>
  </si>
  <si>
    <r>
      <rPr>
        <b/>
        <sz val="12"/>
        <color theme="1"/>
        <rFont val="Calibri"/>
        <family val="2"/>
        <scheme val="minor"/>
      </rPr>
      <t>START</t>
    </r>
    <r>
      <rPr>
        <sz val="12"/>
        <color theme="1"/>
        <rFont val="Calibri"/>
        <family val="2"/>
        <scheme val="minor"/>
      </rPr>
      <t xml:space="preserve"> auto-clear và </t>
    </r>
    <r>
      <rPr>
        <b/>
        <sz val="12"/>
        <color theme="1"/>
        <rFont val="Calibri"/>
        <family val="2"/>
        <scheme val="minor"/>
      </rPr>
      <t>BUSY = 1</t>
    </r>
    <r>
      <rPr>
        <sz val="12"/>
        <color theme="1"/>
        <rFont val="Calibri"/>
        <family val="2"/>
        <scheme val="minor"/>
      </rPr>
      <t>.</t>
    </r>
  </si>
  <si>
    <t>INT_CLR</t>
  </si>
  <si>
    <r>
      <t>1. Ghi</t>
    </r>
    <r>
      <rPr>
        <b/>
        <sz val="12"/>
        <color theme="1"/>
        <rFont val="Calibri"/>
        <family val="2"/>
        <scheme val="minor"/>
      </rPr>
      <t xml:space="preserve"> i_config_reg.INT_CLR = 1 </t>
    </r>
    <r>
      <rPr>
        <sz val="12"/>
        <color theme="1"/>
        <rFont val="Calibri"/>
        <family val="2"/>
        <scheme val="minor"/>
      </rPr>
      <t xml:space="preserve">
2. Tất cả bit trạng thái trừ </t>
    </r>
    <r>
      <rPr>
        <b/>
        <sz val="12"/>
        <color theme="1"/>
        <rFont val="Calibri"/>
        <family val="2"/>
        <scheme val="minor"/>
      </rPr>
      <t xml:space="preserve">I2C_BUSY </t>
    </r>
    <r>
      <rPr>
        <sz val="12"/>
        <color theme="1"/>
        <rFont val="Calibri"/>
        <family val="2"/>
        <scheme val="minor"/>
      </rPr>
      <t xml:space="preserve">phải clear. 
</t>
    </r>
  </si>
  <si>
    <r>
      <rPr>
        <b/>
        <sz val="12"/>
        <color theme="1"/>
        <rFont val="Calibri"/>
        <family val="2"/>
        <scheme val="minor"/>
      </rPr>
      <t>TX_DONE/RX_DONE/TX_ERR/RX_ERR/ABORT_ACK</t>
    </r>
    <r>
      <rPr>
        <sz val="12"/>
        <color theme="1"/>
        <rFont val="Calibri"/>
        <family val="2"/>
        <scheme val="minor"/>
      </rPr>
      <t xml:space="preserve"> về 0. </t>
    </r>
    <r>
      <rPr>
        <b/>
        <sz val="12"/>
        <color theme="1"/>
        <rFont val="Calibri"/>
        <family val="2"/>
        <scheme val="minor"/>
      </rPr>
      <t>I2C_BUSY</t>
    </r>
    <r>
      <rPr>
        <sz val="12"/>
        <color theme="1"/>
        <rFont val="Calibri"/>
        <family val="2"/>
        <scheme val="minor"/>
      </rPr>
      <t xml:space="preserve"> giữ nguyên.</t>
    </r>
  </si>
  <si>
    <t>RESET</t>
  </si>
  <si>
    <t>ABORT</t>
  </si>
  <si>
    <r>
      <t>1. Ghi</t>
    </r>
    <r>
      <rPr>
        <b/>
        <sz val="12"/>
        <color theme="1"/>
        <rFont val="Calibri"/>
        <family val="2"/>
        <scheme val="minor"/>
      </rPr>
      <t xml:space="preserve"> i_config_reg.RESET = 1 </t>
    </r>
    <r>
      <rPr>
        <sz val="12"/>
        <color theme="1"/>
        <rFont val="Calibri"/>
        <family val="2"/>
        <scheme val="minor"/>
      </rPr>
      <t xml:space="preserve">
2. Module reset về trạng thái mặc định
</t>
    </r>
  </si>
  <si>
    <r>
      <t>1. Ghi</t>
    </r>
    <r>
      <rPr>
        <b/>
        <sz val="12"/>
        <color theme="1"/>
        <rFont val="Calibri"/>
        <family val="2"/>
        <scheme val="minor"/>
      </rPr>
      <t xml:space="preserve"> i_config_reg.ABORT = 1 </t>
    </r>
    <r>
      <rPr>
        <sz val="12"/>
        <color theme="1"/>
        <rFont val="Calibri"/>
        <family val="2"/>
        <scheme val="minor"/>
      </rPr>
      <t xml:space="preserve">giữa giao dịch (transaction)
2. Check </t>
    </r>
    <r>
      <rPr>
        <b/>
        <sz val="12"/>
        <color theme="1"/>
        <rFont val="Calibri"/>
        <family val="2"/>
        <scheme val="minor"/>
      </rPr>
      <t>o_cmd_status_reg.ABORT_ACK = 1.</t>
    </r>
    <r>
      <rPr>
        <sz val="12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</si>
  <si>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được phát (nếu bus cho phép) và giao dịch kết thúc.</t>
    </r>
  </si>
  <si>
    <t>RW_MODE</t>
  </si>
  <si>
    <r>
      <t xml:space="preserve">1. </t>
    </r>
    <r>
      <rPr>
        <b/>
        <sz val="12"/>
        <color theme="1"/>
        <rFont val="Calibri"/>
        <family val="2"/>
        <scheme val="minor"/>
      </rPr>
      <t>i_mode_reg.RW_MODE = 0</t>
    </r>
    <r>
      <rPr>
        <sz val="12"/>
        <color theme="1"/>
        <rFont val="Calibri"/>
        <family val="2"/>
        <scheme val="minor"/>
      </rPr>
      <t xml:space="preserve"> (Write) / </t>
    </r>
    <r>
      <rPr>
        <b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(Read).
2. Check hướng đi (direction) của data.
</t>
    </r>
  </si>
  <si>
    <r>
      <t>Hướng bus phù hợp:
- Từ</t>
    </r>
    <r>
      <rPr>
        <b/>
        <sz val="12"/>
        <color theme="1"/>
        <rFont val="Calibri"/>
        <family val="2"/>
        <scheme val="minor"/>
      </rPr>
      <t xml:space="preserve"> Master → Slave</t>
    </r>
    <r>
      <rPr>
        <sz val="12"/>
        <color theme="1"/>
        <rFont val="Calibri"/>
        <family val="2"/>
        <scheme val="minor"/>
      </rPr>
      <t xml:space="preserve"> đối với </t>
    </r>
    <r>
      <rPr>
        <b/>
        <sz val="12"/>
        <color theme="1"/>
        <rFont val="Calibri"/>
        <family val="2"/>
        <scheme val="minor"/>
      </rPr>
      <t>Write</t>
    </r>
    <r>
      <rPr>
        <sz val="12"/>
        <color theme="1"/>
        <rFont val="Calibri"/>
        <family val="2"/>
        <scheme val="minor"/>
      </rPr>
      <t xml:space="preserve">.
- Từ </t>
    </r>
    <r>
      <rPr>
        <b/>
        <sz val="12"/>
        <color theme="1"/>
        <rFont val="Calibri"/>
        <family val="2"/>
        <scheme val="minor"/>
      </rPr>
      <t>Slave → Master</t>
    </r>
    <r>
      <rPr>
        <sz val="12"/>
        <color theme="1"/>
        <rFont val="Calibri"/>
        <family val="2"/>
        <scheme val="minor"/>
      </rPr>
      <t xml:space="preserve"> đối với </t>
    </r>
    <r>
      <rPr>
        <b/>
        <sz val="12"/>
        <color theme="1"/>
        <rFont val="Calibri"/>
        <family val="2"/>
        <scheme val="minor"/>
      </rPr>
      <t>Read</t>
    </r>
    <r>
      <rPr>
        <sz val="12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</si>
  <si>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>ACK_POL</t>
    </r>
    <r>
      <rPr>
        <sz val="12"/>
        <color theme="1"/>
        <rFont val="Calibri"/>
        <family val="2"/>
        <scheme val="minor"/>
      </rPr>
      <t xml:space="preserve"> (</t>
    </r>
    <r>
      <rPr>
        <b/>
        <sz val="12"/>
        <color theme="1"/>
        <rFont val="Calibri"/>
        <family val="2"/>
        <scheme val="minor"/>
      </rPr>
      <t>ACK/NACK</t>
    </r>
    <r>
      <rPr>
        <sz val="12"/>
        <color theme="1"/>
        <rFont val="Calibri"/>
        <family val="2"/>
        <scheme val="minor"/>
      </rPr>
      <t xml:space="preserve"> byte cuối khi đọc)</t>
    </r>
  </si>
  <si>
    <r>
      <t xml:space="preserve">Bit điều khiển hành vi </t>
    </r>
    <r>
      <rPr>
        <b/>
        <sz val="12"/>
        <color theme="1"/>
        <rFont val="Calibri"/>
        <family val="2"/>
        <scheme val="minor"/>
      </rPr>
      <t>ACK/NACK</t>
    </r>
    <r>
      <rPr>
        <sz val="12"/>
        <color theme="1"/>
        <rFont val="Calibri"/>
        <family val="2"/>
        <scheme val="minor"/>
      </rPr>
      <t xml:space="preserve"> đúng chuẩn cho byte cuối.</t>
    </r>
  </si>
  <si>
    <t>Clock divider</t>
  </si>
  <si>
    <r>
      <rPr>
        <b/>
        <sz val="12"/>
        <color theme="1"/>
        <rFont val="Calibri"/>
        <family val="2"/>
        <scheme val="minor"/>
      </rPr>
      <t>i_clk_div_lsb + i_mode_reg.DIV[10:8]</t>
    </r>
    <r>
      <rPr>
        <sz val="12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Lưu ý</t>
    </r>
    <r>
      <rPr>
        <b/>
        <sz val="12"/>
        <color theme="1"/>
        <rFont val="Calibri"/>
        <family val="2"/>
        <scheme val="minor"/>
      </rPr>
      <t xml:space="preserve"> DIV[0]</t>
    </r>
    <r>
      <rPr>
        <sz val="12"/>
        <color theme="1"/>
        <rFont val="Calibri"/>
        <family val="2"/>
        <scheme val="minor"/>
      </rPr>
      <t xml:space="preserve"> không dùng (chỉ hỗ trợ giá trị chẵn).</t>
    </r>
  </si>
  <si>
    <t>Khi nạp giá trị lẻ vi phạm (violation), TB phải bắt được (hoặc check SCL vẫn theo chuẩn).</t>
  </si>
  <si>
    <r>
      <rPr>
        <b/>
        <sz val="12"/>
        <color theme="1"/>
        <rFont val="Calibri"/>
        <family val="2"/>
        <scheme val="minor"/>
      </rPr>
      <t>BPS[1:0]</t>
    </r>
    <r>
      <rPr>
        <sz val="12"/>
        <color theme="1"/>
        <rFont val="Calibri"/>
        <family val="2"/>
        <scheme val="minor"/>
      </rPr>
      <t xml:space="preserve"> (Speed mode)</t>
    </r>
  </si>
  <si>
    <t>00 = Standard (100 kHz)
01 = Fast (400 kHz)</t>
  </si>
  <si>
    <r>
      <rPr>
        <b/>
        <sz val="12"/>
        <color theme="1"/>
        <rFont val="Calibri"/>
        <family val="2"/>
        <scheme val="minor"/>
      </rPr>
      <t>SCL</t>
    </r>
    <r>
      <rPr>
        <sz val="12"/>
        <color theme="1"/>
        <rFont val="Calibri"/>
        <family val="2"/>
        <scheme val="minor"/>
      </rPr>
      <t xml:space="preserve"> đo được </t>
    </r>
    <r>
      <rPr>
        <b/>
        <sz val="12"/>
        <color theme="1"/>
        <rFont val="Calibri"/>
        <family val="2"/>
        <scheme val="minor"/>
      </rPr>
      <t>~100 kHz / ~400 kHz</t>
    </r>
    <r>
      <rPr>
        <sz val="12"/>
        <color theme="1"/>
        <rFont val="Calibri"/>
        <family val="2"/>
        <scheme val="minor"/>
      </rPr>
      <t xml:space="preserve"> (± sai số mô phỏng).</t>
    </r>
  </si>
  <si>
    <t>Byte count</t>
  </si>
  <si>
    <r>
      <t xml:space="preserve">Thử </t>
    </r>
    <r>
      <rPr>
        <b/>
        <sz val="12"/>
        <color theme="1"/>
        <rFont val="Calibri"/>
        <family val="2"/>
        <scheme val="minor"/>
      </rPr>
      <t>0 (ACK)</t>
    </r>
    <r>
      <rPr>
        <sz val="12"/>
        <color theme="1"/>
        <rFont val="Calibri"/>
        <family val="2"/>
        <scheme val="minor"/>
      </rPr>
      <t xml:space="preserve"> và </t>
    </r>
    <r>
      <rPr>
        <b/>
        <sz val="12"/>
        <color theme="1"/>
        <rFont val="Calibri"/>
        <family val="2"/>
        <scheme val="minor"/>
      </rPr>
      <t>1 (NACK)</t>
    </r>
    <r>
      <rPr>
        <sz val="12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</si>
  <si>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>i_byte_cnt_reg</t>
    </r>
    <r>
      <rPr>
        <sz val="12"/>
        <color theme="1"/>
        <rFont val="Calibri"/>
        <family val="2"/>
        <scheme val="minor"/>
      </rPr>
      <t xml:space="preserve"> quyết định số byte dữ liệu.</t>
    </r>
  </si>
  <si>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chỉ phát sau khi toàn bộ số byte được giao dịch.</t>
    </r>
  </si>
  <si>
    <t>2. Bus Protocol (FSM phụ)</t>
  </si>
  <si>
    <t>Bus IDLE</t>
  </si>
  <si>
    <r>
      <t xml:space="preserve">Cả </t>
    </r>
    <r>
      <rPr>
        <b/>
        <sz val="11"/>
        <color theme="1"/>
        <rFont val="Segoe UI"/>
        <family val="2"/>
      </rPr>
      <t>SCL &amp; SDA</t>
    </r>
    <r>
      <rPr>
        <sz val="11"/>
        <color theme="1"/>
        <rFont val="Segoe UI"/>
        <family val="2"/>
      </rPr>
      <t xml:space="preserve"> ở mức </t>
    </r>
    <r>
      <rPr>
        <b/>
        <sz val="11"/>
        <color theme="1"/>
        <rFont val="Segoe UI"/>
        <family val="2"/>
      </rPr>
      <t>HIGH</t>
    </r>
    <r>
      <rPr>
        <sz val="11"/>
        <color theme="1"/>
        <rFont val="Segoe UI"/>
        <family val="2"/>
      </rPr>
      <t xml:space="preserve"> (pull-up).</t>
    </r>
  </si>
  <si>
    <r>
      <t xml:space="preserve">Module nhận diện bus </t>
    </r>
    <r>
      <rPr>
        <b/>
        <sz val="12"/>
        <color theme="1"/>
        <rFont val="Calibri"/>
        <family val="2"/>
        <scheme val="minor"/>
      </rPr>
      <t>IDLE</t>
    </r>
    <r>
      <rPr>
        <sz val="12"/>
        <color theme="1"/>
        <rFont val="Calibri"/>
        <family val="2"/>
        <scheme val="minor"/>
      </rPr>
      <t xml:space="preserve"> trước khi </t>
    </r>
    <r>
      <rPr>
        <b/>
        <sz val="12"/>
        <color theme="1"/>
        <rFont val="Calibri"/>
        <family val="2"/>
        <scheme val="minor"/>
      </rPr>
      <t>START</t>
    </r>
    <r>
      <rPr>
        <sz val="12"/>
        <color theme="1"/>
        <rFont val="Calibri"/>
        <family val="2"/>
        <scheme val="minor"/>
      </rPr>
      <t>.</t>
    </r>
  </si>
  <si>
    <t>START generate</t>
  </si>
  <si>
    <r>
      <rPr>
        <b/>
        <sz val="11"/>
        <color theme="1"/>
        <rFont val="Segoe UI"/>
        <family val="2"/>
      </rPr>
      <t>Điều kiện START (Start condition)</t>
    </r>
    <r>
      <rPr>
        <sz val="11"/>
        <color theme="1"/>
        <rFont val="Segoe UI"/>
        <family val="2"/>
      </rPr>
      <t xml:space="preserve"> đúng.</t>
    </r>
  </si>
  <si>
    <t>STOP generate</t>
  </si>
  <si>
    <r>
      <t xml:space="preserve">Khi </t>
    </r>
    <r>
      <rPr>
        <b/>
        <sz val="10"/>
        <color theme="1"/>
        <rFont val="Arial Unicode MS"/>
      </rPr>
      <t>START = 1</t>
    </r>
    <r>
      <rPr>
        <sz val="11"/>
        <color theme="1"/>
        <rFont val="Segoe UI"/>
        <family val="2"/>
      </rPr>
      <t xml:space="preserve">, kiểm tra </t>
    </r>
    <r>
      <rPr>
        <b/>
        <sz val="11"/>
        <color theme="1"/>
        <rFont val="Segoe UI"/>
        <family val="2"/>
      </rPr>
      <t xml:space="preserve">SDA: HIGH → LOW </t>
    </r>
    <r>
      <rPr>
        <sz val="11"/>
        <color theme="1"/>
        <rFont val="Segoe UI"/>
        <family val="2"/>
      </rPr>
      <t>khi</t>
    </r>
    <r>
      <rPr>
        <b/>
        <sz val="11"/>
        <color theme="1"/>
        <rFont val="Segoe UI"/>
        <family val="2"/>
      </rPr>
      <t xml:space="preserve"> SCL = HIGH</t>
    </r>
    <r>
      <rPr>
        <sz val="11"/>
        <color theme="1"/>
        <rFont val="Segoe UI"/>
        <family val="2"/>
      </rPr>
      <t>.</t>
    </r>
  </si>
  <si>
    <r>
      <t xml:space="preserve">Kết thúc, kiểm tra </t>
    </r>
    <r>
      <rPr>
        <b/>
        <sz val="11"/>
        <color theme="1"/>
        <rFont val="Segoe UI"/>
        <family val="2"/>
      </rPr>
      <t>SDA: LOW → HIGH khi SCL = HIGH</t>
    </r>
    <r>
      <rPr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</si>
  <si>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Điều kiện STOP (Stop condition)</t>
    </r>
    <r>
      <rPr>
        <sz val="11"/>
        <color theme="1"/>
        <rFont val="Segoe UI"/>
        <family val="2"/>
      </rPr>
      <t xml:space="preserve"> đúng.</t>
    </r>
  </si>
  <si>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Detect</t>
    </r>
  </si>
  <si>
    <r>
      <rPr>
        <b/>
        <sz val="11"/>
        <color theme="1"/>
        <rFont val="Segoe UI"/>
        <family val="2"/>
      </rPr>
      <t>Master</t>
    </r>
    <r>
      <rPr>
        <sz val="11"/>
        <color theme="1"/>
        <rFont val="Segoe UI"/>
        <family val="2"/>
      </rPr>
      <t xml:space="preserve"> lấy mẫu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ở pha </t>
    </r>
    <r>
      <rPr>
        <b/>
        <sz val="11"/>
        <color theme="1"/>
        <rFont val="Segoe UI"/>
        <family val="2"/>
      </rPr>
      <t>SCL = HIGH</t>
    </r>
    <r>
      <rPr>
        <sz val="11"/>
        <color theme="1"/>
        <rFont val="Segoe UI"/>
        <family val="2"/>
      </rPr>
      <t>.</t>
    </r>
  </si>
  <si>
    <r>
      <t xml:space="preserve">Đọc đúng mức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từ </t>
    </r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>.</t>
    </r>
  </si>
  <si>
    <t>ACK Generate</t>
  </si>
  <si>
    <r>
      <t xml:space="preserve">Khi </t>
    </r>
    <r>
      <rPr>
        <b/>
        <sz val="11"/>
        <color theme="1"/>
        <rFont val="Segoe UI"/>
        <family val="2"/>
      </rPr>
      <t>Master</t>
    </r>
    <r>
      <rPr>
        <sz val="11"/>
        <color theme="1"/>
        <rFont val="Segoe UI"/>
        <family val="2"/>
      </rPr>
      <t xml:space="preserve"> phát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(hoặc </t>
    </r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theo </t>
    </r>
    <r>
      <rPr>
        <b/>
        <sz val="10"/>
        <color theme="1"/>
        <rFont val="Arial Unicode MS"/>
      </rPr>
      <t>ACK_POL</t>
    </r>
    <r>
      <rPr>
        <sz val="11"/>
        <color theme="1"/>
        <rFont val="Segoe UI"/>
        <family val="2"/>
      </rPr>
      <t xml:space="preserve">) 
→ chỉ </t>
    </r>
    <r>
      <rPr>
        <b/>
        <i/>
        <sz val="11"/>
        <color theme="1"/>
        <rFont val="Segoe UI"/>
        <family val="2"/>
      </rPr>
      <t>drive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SDA</t>
    </r>
    <r>
      <rPr>
        <sz val="11"/>
        <color theme="1"/>
        <rFont val="Segoe UI"/>
        <family val="2"/>
      </rPr>
      <t xml:space="preserve"> ở </t>
    </r>
    <r>
      <rPr>
        <b/>
        <sz val="11"/>
        <color theme="1"/>
        <rFont val="Segoe UI"/>
        <family val="2"/>
      </rPr>
      <t>SCL = LOW</t>
    </r>
    <r>
      <rPr>
        <sz val="11"/>
        <color theme="1"/>
        <rFont val="Segoe UI"/>
        <family val="2"/>
      </rPr>
      <t xml:space="preserve">; </t>
    </r>
    <r>
      <rPr>
        <b/>
        <i/>
        <sz val="11"/>
        <color theme="1"/>
        <rFont val="Segoe UI"/>
        <family val="2"/>
      </rPr>
      <t>release</t>
    </r>
    <r>
      <rPr>
        <sz val="11"/>
        <color theme="1"/>
        <rFont val="Segoe UI"/>
        <family val="2"/>
      </rPr>
      <t xml:space="preserve"> trước </t>
    </r>
    <r>
      <rPr>
        <b/>
        <sz val="11"/>
        <color theme="1"/>
        <rFont val="Segoe UI"/>
        <family val="2"/>
      </rPr>
      <t>SCL=HIGH</t>
    </r>
    <r>
      <rPr>
        <sz val="11"/>
        <color theme="1"/>
        <rFont val="Segoe UI"/>
        <family val="2"/>
      </rPr>
      <t>.</t>
    </r>
  </si>
  <si>
    <r>
      <t xml:space="preserve">Không vi phạm quy tắc thay đổi </t>
    </r>
    <r>
      <rPr>
        <b/>
        <sz val="11"/>
        <color theme="1"/>
        <rFont val="Segoe UI"/>
        <family val="2"/>
      </rPr>
      <t>SDA</t>
    </r>
    <r>
      <rPr>
        <sz val="11"/>
        <color theme="1"/>
        <rFont val="Segoe UI"/>
        <family val="2"/>
      </rPr>
      <t xml:space="preserve"> chỉ khi </t>
    </r>
    <r>
      <rPr>
        <b/>
        <sz val="11"/>
        <color theme="1"/>
        <rFont val="Segoe UI"/>
        <family val="2"/>
      </rPr>
      <t>SCL = LOW.</t>
    </r>
  </si>
  <si>
    <t>Clock stretching / đồng bộ</t>
  </si>
  <si>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 xml:space="preserve"> kéo </t>
    </r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thấp lâu hơn 
→ </t>
    </r>
    <r>
      <rPr>
        <b/>
        <sz val="11"/>
        <color theme="1"/>
        <rFont val="Segoe UI"/>
        <family val="2"/>
      </rPr>
      <t>Master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giữ LOW</t>
    </r>
    <r>
      <rPr>
        <sz val="11"/>
        <color theme="1"/>
        <rFont val="Segoe UI"/>
        <family val="2"/>
      </rPr>
      <t xml:space="preserve"> cho đến khi tất cả thiết bị hoàn tất </t>
    </r>
    <r>
      <rPr>
        <b/>
        <sz val="11"/>
        <color theme="1"/>
        <rFont val="Segoe UI"/>
        <family val="2"/>
      </rPr>
      <t>LOW</t>
    </r>
    <r>
      <rPr>
        <sz val="11"/>
        <color theme="1"/>
        <rFont val="Segoe UI"/>
        <family val="2"/>
      </rPr>
      <t>, sau đó</t>
    </r>
    <r>
      <rPr>
        <b/>
        <sz val="11"/>
        <color theme="1"/>
        <rFont val="Segoe UI"/>
        <family val="2"/>
      </rPr>
      <t xml:space="preserve"> đồng bộ HIGH</t>
    </r>
    <r>
      <rPr>
        <sz val="11"/>
        <color theme="1"/>
        <rFont val="Segoe UI"/>
        <family val="2"/>
      </rPr>
      <t xml:space="preserve"> theo thiết bị nhanh nhất.</t>
    </r>
  </si>
  <si>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quan sát được đồng bộ theo mô tả.</t>
    </r>
  </si>
  <si>
    <t>3. Truyền ghi (Master Transmit / WRITE)</t>
  </si>
  <si>
    <r>
      <rPr>
        <b/>
        <sz val="11"/>
        <color theme="1"/>
        <rFont val="Segoe UI"/>
        <family val="2"/>
      </rPr>
      <t>Flow</t>
    </r>
    <r>
      <rPr>
        <sz val="11"/>
        <color theme="1"/>
        <rFont val="Segoe UI"/>
        <family val="2"/>
      </rPr>
      <t xml:space="preserve"> cơ bản</t>
    </r>
  </si>
  <si>
    <r>
      <rPr>
        <b/>
        <sz val="10"/>
        <color theme="1"/>
        <rFont val="Arial Unicode MS"/>
      </rPr>
      <t>TX_DONE = 1</t>
    </r>
    <r>
      <rPr>
        <sz val="11"/>
        <color theme="1"/>
        <rFont val="Segoe UI"/>
        <family val="2"/>
      </rPr>
      <t xml:space="preserve"> sau byte cuối; </t>
    </r>
    <r>
      <rPr>
        <b/>
        <sz val="10"/>
        <color theme="1"/>
        <rFont val="Arial Unicode MS"/>
      </rPr>
      <t>I2C_BUSY</t>
    </r>
    <r>
      <rPr>
        <sz val="11"/>
        <color theme="1"/>
        <rFont val="Segoe UI"/>
        <family val="2"/>
      </rPr>
      <t xml:space="preserve"> chỉ clear </t>
    </r>
    <r>
      <rPr>
        <b/>
        <sz val="11"/>
        <color theme="1"/>
        <rFont val="Segoe UI"/>
        <family val="2"/>
      </rPr>
      <t>sau khi STOP hoàn tất</t>
    </r>
    <r>
      <rPr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</si>
  <si>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Handshake</t>
    </r>
    <r>
      <rPr>
        <sz val="11"/>
        <color theme="1"/>
        <rFont val="Segoe UI"/>
        <family val="2"/>
      </rPr>
      <t xml:space="preserve"> dữ liệu</t>
    </r>
  </si>
  <si>
    <r>
      <t xml:space="preserve">Quan sát </t>
    </r>
    <r>
      <rPr>
        <b/>
        <sz val="10"/>
        <color theme="1"/>
        <rFont val="Arial Unicode MS"/>
      </rPr>
      <t>o_transmit_data_requested</t>
    </r>
    <r>
      <rPr>
        <sz val="11"/>
        <color theme="1"/>
        <rFont val="Segoe UI"/>
        <family val="2"/>
      </rPr>
      <t xml:space="preserve"> trước mỗi byte 
→ TB cung cấp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i_transmit_data</t>
    </r>
    <r>
      <rPr>
        <b/>
        <sz val="11"/>
        <color theme="1"/>
        <rFont val="Segoe UI"/>
        <family val="2"/>
      </rPr>
      <t>.</t>
    </r>
  </si>
  <si>
    <r>
      <t xml:space="preserve">Không bị bỏ lỡ </t>
    </r>
    <r>
      <rPr>
        <b/>
        <sz val="11"/>
        <color theme="1"/>
        <rFont val="Segoe UI"/>
        <family val="2"/>
      </rPr>
      <t>byte</t>
    </r>
    <r>
      <rPr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</si>
  <si>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trong pha địa chỉ (</t>
    </r>
    <r>
      <rPr>
        <b/>
        <sz val="11"/>
        <color theme="1"/>
        <rFont val="Segoe UI"/>
        <family val="2"/>
      </rPr>
      <t>ADDR_ACK</t>
    </r>
    <r>
      <rPr>
        <sz val="11"/>
        <color theme="1"/>
        <rFont val="Segoe UI"/>
        <family val="2"/>
      </rPr>
      <t xml:space="preserve"> state)</t>
    </r>
  </si>
  <si>
    <r>
      <rPr>
        <b/>
        <sz val="10"/>
        <color theme="1"/>
        <rFont val="Arial Unicode MS"/>
      </rPr>
      <t>TX_ERR = 1</t>
    </r>
    <r>
      <rPr>
        <sz val="11"/>
        <color theme="1"/>
        <rFont val="Segoe UI"/>
        <family val="2"/>
      </rPr>
      <t>, ngắt (nếu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TX_IE = 1</t>
    </r>
    <r>
      <rPr>
        <sz val="11"/>
        <color theme="1"/>
        <rFont val="Segoe UI"/>
        <family val="2"/>
      </rPr>
      <t>), giao dịch kết thúc chuẩn.</t>
    </r>
  </si>
  <si>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giữa dòng dữ liệu (</t>
    </r>
    <r>
      <rPr>
        <b/>
        <sz val="11"/>
        <color theme="1"/>
        <rFont val="Segoe UI"/>
        <family val="2"/>
      </rPr>
      <t>DATA_ACK</t>
    </r>
    <r>
      <rPr>
        <sz val="11"/>
        <color theme="1"/>
        <rFont val="Segoe UI"/>
        <family val="2"/>
      </rPr>
      <t>)</t>
    </r>
  </si>
  <si>
    <r>
      <t xml:space="preserve">Ép </t>
    </r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tại một byte giữa chừng.</t>
    </r>
  </si>
  <si>
    <r>
      <rPr>
        <b/>
        <sz val="10"/>
        <color theme="1"/>
        <rFont val="Arial Unicode MS"/>
      </rPr>
      <t>TX_ERR = 1</t>
    </r>
    <r>
      <rPr>
        <sz val="11"/>
        <color theme="1"/>
        <rFont val="Segoe UI"/>
        <family val="2"/>
      </rPr>
      <t xml:space="preserve"> và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được phát sau lỗi.</t>
    </r>
  </si>
  <si>
    <t>4. Truyền đọc (Master Receive / READ)</t>
  </si>
  <si>
    <t>5. Repeated START</t>
  </si>
  <si>
    <r>
      <rPr>
        <b/>
        <sz val="11"/>
        <color theme="1"/>
        <rFont val="Segoe UI"/>
        <family val="2"/>
      </rPr>
      <t>START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 xml:space="preserve">ADDR + </t>
    </r>
    <r>
      <rPr>
        <b/>
        <sz val="11"/>
        <color rgb="FFFF0000"/>
        <rFont val="Segoe UI"/>
        <family val="2"/>
      </rPr>
      <t>W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→ gửi </t>
    </r>
    <r>
      <rPr>
        <b/>
        <sz val="11"/>
        <color theme="1"/>
        <rFont val="Segoe UI"/>
        <family val="2"/>
      </rPr>
      <t>N</t>
    </r>
    <r>
      <rPr>
        <sz val="11"/>
        <color theme="1"/>
        <rFont val="Segoe UI"/>
        <family val="2"/>
      </rPr>
      <t xml:space="preserve"> byte →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mỗi byte →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</si>
  <si>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START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 xml:space="preserve">ADDR + </t>
    </r>
    <r>
      <rPr>
        <b/>
        <sz val="11"/>
        <color rgb="FFFF0000"/>
        <rFont val="Segoe UI"/>
        <family val="2"/>
      </rPr>
      <t>R</t>
    </r>
    <r>
      <rPr>
        <sz val="11"/>
        <color theme="1"/>
        <rFont val="Segoe UI"/>
        <family val="2"/>
      </rPr>
      <t xml:space="preserve"> →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→ nhận </t>
    </r>
    <r>
      <rPr>
        <b/>
        <sz val="11"/>
        <color theme="1"/>
        <rFont val="Segoe UI"/>
        <family val="2"/>
      </rPr>
      <t>N</t>
    </r>
    <r>
      <rPr>
        <sz val="11"/>
        <color theme="1"/>
        <rFont val="Segoe UI"/>
        <family val="2"/>
      </rPr>
      <t xml:space="preserve"> byte → </t>
    </r>
    <r>
      <rPr>
        <b/>
        <sz val="11"/>
        <color theme="1"/>
        <rFont val="Segoe UI"/>
        <family val="2"/>
      </rPr>
      <t xml:space="preserve">Master ACK </t>
    </r>
    <r>
      <rPr>
        <sz val="11"/>
        <color theme="1"/>
        <rFont val="Segoe UI"/>
        <family val="2"/>
      </rPr>
      <t>cho các byte</t>
    </r>
    <r>
      <rPr>
        <b/>
        <sz val="11"/>
        <color theme="1"/>
        <rFont val="Segoe UI"/>
        <family val="2"/>
      </rPr>
      <t xml:space="preserve"> </t>
    </r>
    <r>
      <rPr>
        <sz val="11"/>
        <color theme="1"/>
        <rFont val="Segoe UI"/>
        <family val="2"/>
      </rPr>
      <t>trừ byte cuối (theo</t>
    </r>
    <r>
      <rPr>
        <b/>
        <sz val="11"/>
        <color theme="1"/>
        <rFont val="Segoe UI"/>
        <family val="2"/>
      </rPr>
      <t xml:space="preserve"> ACK_POL</t>
    </r>
    <r>
      <rPr>
        <sz val="11"/>
        <color theme="1"/>
        <rFont val="Segoe UI"/>
        <family val="2"/>
      </rPr>
      <t xml:space="preserve">) →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>.</t>
    </r>
  </si>
  <si>
    <r>
      <rPr>
        <b/>
        <sz val="12"/>
        <color theme="1"/>
        <rFont val="Calibri"/>
        <family val="2"/>
        <scheme val="minor"/>
      </rPr>
      <t>- FSM Master</t>
    </r>
    <r>
      <rPr>
        <sz val="12"/>
        <color theme="1"/>
        <rFont val="Calibri"/>
        <family val="2"/>
        <scheme val="minor"/>
      </rPr>
      <t xml:space="preserve"> về </t>
    </r>
    <r>
      <rPr>
        <b/>
        <sz val="12"/>
        <color theme="1"/>
        <rFont val="Calibri"/>
        <family val="2"/>
        <scheme val="minor"/>
      </rPr>
      <t>IDLE</t>
    </r>
    <r>
      <rPr>
        <sz val="12"/>
        <color theme="1"/>
        <rFont val="Calibri"/>
        <family val="2"/>
        <scheme val="minor"/>
      </rPr>
      <t xml:space="preserve">.
</t>
    </r>
    <r>
      <rPr>
        <b/>
        <sz val="12"/>
        <color theme="1"/>
        <rFont val="Calibri"/>
        <family val="2"/>
        <scheme val="minor"/>
      </rPr>
      <t>- FSM Bus</t>
    </r>
    <r>
      <rPr>
        <sz val="12"/>
        <color theme="1"/>
        <rFont val="Calibri"/>
        <family val="2"/>
        <scheme val="minor"/>
      </rPr>
      <t xml:space="preserve"> về </t>
    </r>
    <r>
      <rPr>
        <b/>
        <sz val="12"/>
        <color theme="1"/>
        <rFont val="Calibri"/>
        <family val="2"/>
        <scheme val="minor"/>
      </rPr>
      <t>IDLE</t>
    </r>
    <r>
      <rPr>
        <sz val="12"/>
        <color theme="1"/>
        <rFont val="Calibri"/>
        <family val="2"/>
        <scheme val="minor"/>
      </rPr>
      <t>.</t>
    </r>
  </si>
  <si>
    <r>
      <rPr>
        <b/>
        <sz val="10"/>
        <color theme="1"/>
        <rFont val="Arial Unicode MS"/>
      </rPr>
      <t xml:space="preserve">- o_received_data_valid </t>
    </r>
    <r>
      <rPr>
        <b/>
        <sz val="11"/>
        <color theme="1"/>
        <rFont val="Segoe UI"/>
        <family val="2"/>
      </rPr>
      <t>= 1</t>
    </r>
    <r>
      <rPr>
        <sz val="11"/>
        <color theme="1"/>
        <rFont val="Segoe UI"/>
        <family val="2"/>
      </rPr>
      <t xml:space="preserve"> đúng chu kỳ
</t>
    </r>
    <r>
      <rPr>
        <b/>
        <sz val="10"/>
        <color theme="1"/>
        <rFont val="Arial Unicode MS"/>
      </rPr>
      <t>- RX_DONE = 1</t>
    </r>
    <r>
      <rPr>
        <sz val="11"/>
        <color theme="1"/>
        <rFont val="Segoe UI"/>
        <family val="2"/>
      </rPr>
      <t xml:space="preserve"> sau byte cuối.</t>
    </r>
  </si>
  <si>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pha địa chỉ </t>
    </r>
    <r>
      <rPr>
        <b/>
        <sz val="11"/>
        <color theme="1"/>
        <rFont val="Segoe UI"/>
        <family val="2"/>
      </rPr>
      <t xml:space="preserve">(ADDR_ACK </t>
    </r>
    <r>
      <rPr>
        <sz val="11"/>
        <color theme="1"/>
        <rFont val="Segoe UI"/>
        <family val="2"/>
      </rPr>
      <t>state)</t>
    </r>
  </si>
  <si>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 xml:space="preserve"> không trả lại </t>
    </r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địa chỉ.</t>
    </r>
  </si>
  <si>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 xml:space="preserve"> không trả lại </t>
    </r>
    <r>
      <rPr>
        <b/>
        <sz val="11"/>
        <color theme="1"/>
        <rFont val="Segoe UI"/>
        <family val="2"/>
      </rPr>
      <t>ACK địa chỉ.</t>
    </r>
  </si>
  <si>
    <r>
      <rPr>
        <b/>
        <sz val="10"/>
        <color theme="1"/>
        <rFont val="Arial Unicode MS"/>
      </rPr>
      <t>RX_ERR = 1</t>
    </r>
    <r>
      <rPr>
        <sz val="11"/>
        <color theme="1"/>
        <rFont val="Segoe UI"/>
        <family val="2"/>
      </rPr>
      <t>, ngắt (nếu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RX_IE = 1</t>
    </r>
    <r>
      <rPr>
        <sz val="11"/>
        <color theme="1"/>
        <rFont val="Segoe UI"/>
        <family val="2"/>
      </rPr>
      <t>).</t>
    </r>
  </si>
  <si>
    <t>ACK_POL</t>
  </si>
  <si>
    <r>
      <t xml:space="preserve">Kiểm tra </t>
    </r>
    <r>
      <rPr>
        <b/>
        <sz val="10"/>
        <color theme="1"/>
        <rFont val="Arial Unicode MS"/>
      </rPr>
      <t>ACK_POL = 1</t>
    </r>
    <r>
      <rPr>
        <sz val="11"/>
        <color theme="1"/>
        <rFont val="Segoe UI"/>
        <family val="2"/>
      </rPr>
      <t xml:space="preserve"> để master </t>
    </r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byte cuối (I2C compliance khi không dùng </t>
    </r>
    <r>
      <rPr>
        <b/>
        <i/>
        <sz val="11"/>
        <color theme="1"/>
        <rFont val="Segoe UI"/>
        <family val="2"/>
      </rPr>
      <t>repeated START</t>
    </r>
    <r>
      <rPr>
        <sz val="11"/>
        <color theme="1"/>
        <rFont val="Segoe UI"/>
        <family val="2"/>
      </rPr>
      <t>).</t>
    </r>
  </si>
  <si>
    <r>
      <t xml:space="preserve">Mức </t>
    </r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thể hiện đúng ở </t>
    </r>
    <r>
      <rPr>
        <b/>
        <sz val="11"/>
        <color theme="1"/>
        <rFont val="Segoe UI"/>
        <family val="2"/>
      </rPr>
      <t>SDA</t>
    </r>
    <r>
      <rPr>
        <sz val="11"/>
        <color theme="1"/>
        <rFont val="Segoe UI"/>
        <family val="2"/>
      </rPr>
      <t xml:space="preserve"> khi </t>
    </r>
    <r>
      <rPr>
        <b/>
        <sz val="11"/>
        <color theme="1"/>
        <rFont val="Segoe UI"/>
        <family val="2"/>
      </rPr>
      <t>SCL = HIGH</t>
    </r>
    <r>
      <rPr>
        <sz val="11"/>
        <color theme="1"/>
        <rFont val="Segoe UI"/>
        <family val="2"/>
      </rPr>
      <t xml:space="preserve"> của bit</t>
    </r>
    <r>
      <rPr>
        <b/>
        <sz val="11"/>
        <color theme="1"/>
        <rFont val="Segoe UI"/>
        <family val="2"/>
      </rPr>
      <t xml:space="preserve"> ACK</t>
    </r>
    <r>
      <rPr>
        <sz val="11"/>
        <color theme="1"/>
        <rFont val="Segoe UI"/>
        <family val="2"/>
      </rPr>
      <t>.</t>
    </r>
  </si>
  <si>
    <r>
      <t>Chuỗi Write → SR → Read</t>
    </r>
    <r>
      <rPr>
        <sz val="11"/>
        <color theme="1"/>
        <rFont val="Segoe UI"/>
        <family val="2"/>
      </rPr>
      <t xml:space="preserve"> 
(ví dụ ghi địa chỉ thanh ghi rồi đọc)</t>
    </r>
  </si>
  <si>
    <r>
      <t xml:space="preserve">Cập nhật </t>
    </r>
    <r>
      <rPr>
        <b/>
        <sz val="10"/>
        <color theme="1"/>
        <rFont val="Arial Unicode MS"/>
      </rPr>
      <t>i_byte_cnt_reg</t>
    </r>
    <r>
      <rPr>
        <b/>
        <sz val="11"/>
        <color theme="1"/>
        <rFont val="Segoe UI"/>
        <family val="2"/>
      </rPr>
      <t xml:space="preserve">, </t>
    </r>
    <r>
      <rPr>
        <b/>
        <sz val="10"/>
        <color theme="1"/>
        <rFont val="Arial Unicode MS"/>
      </rPr>
      <t>i_mode_reg</t>
    </r>
    <r>
      <rPr>
        <sz val="11"/>
        <color theme="1"/>
        <rFont val="Segoe UI"/>
        <family val="2"/>
      </rPr>
      <t xml:space="preserve"> và phát </t>
    </r>
    <r>
      <rPr>
        <b/>
        <sz val="10"/>
        <color theme="1"/>
        <rFont val="Arial Unicode MS"/>
      </rPr>
      <t>START</t>
    </r>
    <r>
      <rPr>
        <sz val="11"/>
        <color theme="1"/>
        <rFont val="Segoe UI"/>
        <family val="2"/>
      </rPr>
      <t xml:space="preserve"> lần 2 </t>
    </r>
    <r>
      <rPr>
        <b/>
        <sz val="11"/>
        <color theme="1"/>
        <rFont val="Segoe UI"/>
        <family val="2"/>
      </rPr>
      <t>trước</t>
    </r>
    <r>
      <rPr>
        <sz val="11"/>
        <color theme="1"/>
        <rFont val="Segoe UI"/>
        <family val="2"/>
      </rPr>
      <t xml:space="preserve"> khi pha </t>
    </r>
    <r>
      <rPr>
        <b/>
        <sz val="10"/>
        <color theme="1"/>
        <rFont val="Arial Unicode MS"/>
      </rPr>
      <t>TX_DONE/RX_DONE</t>
    </r>
    <r>
      <rPr>
        <sz val="11"/>
        <color theme="1"/>
        <rFont val="Segoe UI"/>
        <family val="2"/>
      </rPr>
      <t xml:space="preserve"> của giao dịch 1 xảy ra.</t>
    </r>
  </si>
  <si>
    <r>
      <t xml:space="preserve">Không phát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giữa chừng; bus giữ bận </t>
    </r>
    <r>
      <rPr>
        <b/>
        <sz val="11"/>
        <color theme="1"/>
        <rFont val="Segoe UI"/>
        <family val="2"/>
      </rPr>
      <t>(I2C_BUSY = 1)</t>
    </r>
    <r>
      <rPr>
        <sz val="11"/>
        <color theme="1"/>
        <rFont val="Segoe UI"/>
        <family val="2"/>
      </rPr>
      <t>.</t>
    </r>
  </si>
  <si>
    <r>
      <t xml:space="preserve">Không đổi địa chỉ giữa 2 </t>
    </r>
    <r>
      <rPr>
        <b/>
        <sz val="11"/>
        <color theme="1"/>
        <rFont val="Segoe UI"/>
        <family val="2"/>
      </rPr>
      <t>START.</t>
    </r>
  </si>
  <si>
    <r>
      <t xml:space="preserve">Nếu đổi, thiết kế sẽ phát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và khởi tạo giao dịch mới.</t>
    </r>
  </si>
  <si>
    <r>
      <t>Quan sát</t>
    </r>
    <r>
      <rPr>
        <b/>
        <sz val="11"/>
        <color theme="1"/>
        <rFont val="Segoe UI"/>
        <family val="2"/>
      </rPr>
      <t xml:space="preserve"> STOP</t>
    </r>
    <r>
      <rPr>
        <sz val="11"/>
        <color theme="1"/>
        <rFont val="Segoe UI"/>
        <family val="2"/>
      </rPr>
      <t xml:space="preserve"> khi địa chỉ thay đổi.</t>
    </r>
  </si>
  <si>
    <t>Kết thúc</t>
  </si>
  <si>
    <r>
      <rPr>
        <b/>
        <sz val="10"/>
        <color theme="1"/>
        <rFont val="Arial Unicode MS"/>
      </rPr>
      <t>I2C_BUSY</t>
    </r>
    <r>
      <rPr>
        <sz val="11"/>
        <color theme="1"/>
        <rFont val="Segoe UI"/>
        <family val="2"/>
      </rPr>
      <t xml:space="preserve"> chỉ clear </t>
    </r>
    <r>
      <rPr>
        <b/>
        <sz val="11"/>
        <color theme="1"/>
        <rFont val="Segoe UI"/>
        <family val="2"/>
      </rPr>
      <t>sau STOP cuối cùng</t>
    </r>
    <r>
      <rPr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</si>
  <si>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BUSY → 0</t>
    </r>
    <r>
      <rPr>
        <sz val="11"/>
        <color theme="1"/>
        <rFont val="Segoe UI"/>
        <family val="2"/>
      </rPr>
      <t xml:space="preserve"> trễ sau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>.</t>
    </r>
  </si>
  <si>
    <t>6. Speed &amp; Clock Divider</t>
  </si>
  <si>
    <t>Standard-mode (100 kHz)</t>
  </si>
  <si>
    <r>
      <t>Cấu hình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BPS = 00</t>
    </r>
    <r>
      <rPr>
        <sz val="11"/>
        <color theme="1"/>
        <rFont val="Segoe UI"/>
        <family val="2"/>
      </rPr>
      <t xml:space="preserve">, đặt </t>
    </r>
    <r>
      <rPr>
        <b/>
        <sz val="11"/>
        <color theme="1"/>
        <rFont val="Segoe UI"/>
        <family val="2"/>
      </rPr>
      <t>DIV</t>
    </r>
    <r>
      <rPr>
        <sz val="11"/>
        <color theme="1"/>
        <rFont val="Segoe UI"/>
        <family val="2"/>
      </rPr>
      <t xml:space="preserve"> tương ứng.</t>
    </r>
  </si>
  <si>
    <r>
      <t xml:space="preserve">- </t>
    </r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đo ~100 kHz; duty phù hợp.
- </t>
    </r>
    <r>
      <rPr>
        <b/>
        <sz val="11"/>
        <color theme="1"/>
        <rFont val="Segoe UI"/>
        <family val="2"/>
      </rPr>
      <t>SDA</t>
    </r>
    <r>
      <rPr>
        <sz val="11"/>
        <color theme="1"/>
        <rFont val="Segoe UI"/>
        <family val="2"/>
      </rPr>
      <t xml:space="preserve"> ổn định quanh cạnh </t>
    </r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theo chuẩn.</t>
    </r>
  </si>
  <si>
    <t>Fast-mode (400 kHz)</t>
  </si>
  <si>
    <r>
      <rPr>
        <b/>
        <sz val="10"/>
        <color theme="1"/>
        <rFont val="Arial Unicode MS"/>
      </rPr>
      <t>BPS = 01</t>
    </r>
    <r>
      <rPr>
        <b/>
        <sz val="11"/>
        <color theme="1"/>
        <rFont val="Segoe UI"/>
        <family val="2"/>
      </rPr>
      <t>.</t>
    </r>
  </si>
  <si>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đo </t>
    </r>
    <r>
      <rPr>
        <b/>
        <sz val="11"/>
        <color theme="1"/>
        <rFont val="Segoe UI"/>
        <family val="2"/>
      </rPr>
      <t>~400 kHz</t>
    </r>
    <r>
      <rPr>
        <sz val="11"/>
        <color theme="1"/>
        <rFont val="Segoe UI"/>
        <family val="2"/>
      </rPr>
      <t xml:space="preserve">, không vi phạm </t>
    </r>
    <r>
      <rPr>
        <b/>
        <sz val="11"/>
        <color theme="1"/>
        <rFont val="Segoe UI"/>
        <family val="2"/>
      </rPr>
      <t>start/stop/ack timing</t>
    </r>
    <r>
      <rPr>
        <sz val="11"/>
        <color theme="1"/>
        <rFont val="Segoe UI"/>
        <family val="2"/>
      </rPr>
      <t>.</t>
    </r>
  </si>
  <si>
    <r>
      <t xml:space="preserve">Biên </t>
    </r>
    <r>
      <rPr>
        <b/>
        <sz val="11"/>
        <color theme="1"/>
        <rFont val="Segoe UI"/>
        <family val="2"/>
      </rPr>
      <t>DIV</t>
    </r>
  </si>
  <si>
    <r>
      <t xml:space="preserve">Kiểm tra vài giá trị </t>
    </r>
    <r>
      <rPr>
        <b/>
        <sz val="11"/>
        <color theme="1"/>
        <rFont val="Segoe UI"/>
        <family val="2"/>
      </rPr>
      <t>DIV (chẵn)</t>
    </r>
    <r>
      <rPr>
        <sz val="11"/>
        <color theme="1"/>
        <rFont val="Segoe UI"/>
        <family val="2"/>
      </rPr>
      <t xml:space="preserve"> khác nhau.
Xác nhận </t>
    </r>
    <r>
      <rPr>
        <b/>
        <sz val="10"/>
        <color theme="1"/>
        <rFont val="Arial Unicode MS"/>
      </rPr>
      <t>DIV[0]</t>
    </r>
    <r>
      <rPr>
        <sz val="11"/>
        <color theme="1"/>
        <rFont val="Segoe UI"/>
        <family val="2"/>
      </rPr>
      <t xml:space="preserve"> không dùng.</t>
    </r>
  </si>
  <si>
    <r>
      <t xml:space="preserve">Tần số </t>
    </r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khớp công thức và không dùng giá trị lẻ.</t>
    </r>
  </si>
  <si>
    <t>7. Bus busy &amp; Tranh chấp</t>
  </si>
  <si>
    <r>
      <rPr>
        <b/>
        <sz val="11"/>
        <color theme="1"/>
        <rFont val="Segoe UI"/>
        <family val="2"/>
      </rPr>
      <t>Bus</t>
    </r>
    <r>
      <rPr>
        <sz val="11"/>
        <color theme="1"/>
        <rFont val="Segoe UI"/>
        <family val="2"/>
      </rPr>
      <t xml:space="preserve"> đang bận</t>
    </r>
  </si>
  <si>
    <r>
      <t>Trước khi ghi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START</t>
    </r>
    <r>
      <rPr>
        <sz val="11"/>
        <color theme="1"/>
        <rFont val="Segoe UI"/>
        <family val="2"/>
      </rPr>
      <t xml:space="preserve">, ép bus </t>
    </r>
    <r>
      <rPr>
        <b/>
        <sz val="11"/>
        <color theme="1"/>
        <rFont val="Segoe UI"/>
        <family val="2"/>
      </rPr>
      <t>không IDLE</t>
    </r>
    <r>
      <rPr>
        <sz val="11"/>
        <color theme="1"/>
        <rFont val="Segoe UI"/>
        <family val="2"/>
      </rPr>
      <t xml:space="preserve"> (</t>
    </r>
    <r>
      <rPr>
        <b/>
        <sz val="11"/>
        <color theme="1"/>
        <rFont val="Segoe UI"/>
        <family val="2"/>
      </rPr>
      <t>SDA/SCL</t>
    </r>
    <r>
      <rPr>
        <sz val="11"/>
        <color theme="1"/>
        <rFont val="Segoe UI"/>
        <family val="2"/>
      </rPr>
      <t xml:space="preserve"> không cùng </t>
    </r>
    <r>
      <rPr>
        <b/>
        <sz val="11"/>
        <color theme="1"/>
        <rFont val="Segoe UI"/>
        <family val="2"/>
      </rPr>
      <t>HIGH</t>
    </r>
    <r>
      <rPr>
        <sz val="11"/>
        <color theme="1"/>
        <rFont val="Segoe UI"/>
        <family val="2"/>
      </rPr>
      <t>).</t>
    </r>
  </si>
  <si>
    <r>
      <rPr>
        <b/>
        <sz val="11"/>
        <color theme="1"/>
        <rFont val="Segoe UI"/>
        <family val="2"/>
      </rPr>
      <t>START</t>
    </r>
    <r>
      <rPr>
        <sz val="11"/>
        <color theme="1"/>
        <rFont val="Segoe UI"/>
        <family val="2"/>
      </rPr>
      <t xml:space="preserve"> không được chấp nhận cho đến khi </t>
    </r>
    <r>
      <rPr>
        <b/>
        <sz val="11"/>
        <color theme="1"/>
        <rFont val="Segoe UI"/>
        <family val="2"/>
      </rPr>
      <t>bus</t>
    </r>
    <r>
      <rPr>
        <sz val="11"/>
        <color theme="1"/>
        <rFont val="Segoe UI"/>
        <family val="2"/>
      </rPr>
      <t xml:space="preserve"> rảnh; hoặc </t>
    </r>
    <r>
      <rPr>
        <b/>
        <sz val="11"/>
        <color theme="1"/>
        <rFont val="Segoe UI"/>
        <family val="2"/>
      </rPr>
      <t>FSM</t>
    </r>
    <r>
      <rPr>
        <sz val="11"/>
        <color theme="1"/>
        <rFont val="Segoe UI"/>
        <family val="2"/>
      </rPr>
      <t xml:space="preserve"> đợi/huỷ theo thiết kế, </t>
    </r>
    <r>
      <rPr>
        <b/>
        <sz val="10"/>
        <color theme="1"/>
        <rFont val="Arial Unicode MS"/>
      </rPr>
      <t>I2C_BUSY</t>
    </r>
    <r>
      <rPr>
        <sz val="11"/>
        <color theme="1"/>
        <rFont val="Segoe UI"/>
        <family val="2"/>
      </rPr>
      <t xml:space="preserve"> phản ánh trạng thái bus.</t>
    </r>
  </si>
  <si>
    <t>Arbitration/Acquire</t>
  </si>
  <si>
    <r>
      <t xml:space="preserve">Xác nhận </t>
    </r>
    <r>
      <rPr>
        <b/>
        <sz val="11"/>
        <color theme="1"/>
        <rFont val="Segoe UI"/>
        <family val="2"/>
      </rPr>
      <t>START</t>
    </r>
    <r>
      <rPr>
        <sz val="11"/>
        <color theme="1"/>
        <rFont val="Segoe UI"/>
        <family val="2"/>
      </rPr>
      <t xml:space="preserve"> chỉ auto-clear sau khi </t>
    </r>
    <r>
      <rPr>
        <b/>
        <sz val="11"/>
        <color theme="1"/>
        <rFont val="Segoe UI"/>
        <family val="2"/>
      </rPr>
      <t>Master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acquire (chiếm)</t>
    </r>
    <r>
      <rPr>
        <sz val="11"/>
        <color theme="1"/>
        <rFont val="Segoe UI"/>
        <family val="2"/>
      </rPr>
      <t xml:space="preserve"> bus.</t>
    </r>
  </si>
  <si>
    <r>
      <t xml:space="preserve">Quan sát điểm </t>
    </r>
    <r>
      <rPr>
        <b/>
        <sz val="11"/>
        <color theme="1"/>
        <rFont val="Segoe UI"/>
        <family val="2"/>
      </rPr>
      <t>auto-clear</t>
    </r>
    <r>
      <rPr>
        <sz val="11"/>
        <color theme="1"/>
        <rFont val="Segoe UI"/>
        <family val="2"/>
      </rPr>
      <t xml:space="preserve"> đúng như mô tả.</t>
    </r>
  </si>
  <si>
    <t>8. Ngắt (o_int_n)</t>
  </si>
  <si>
    <t>TX interrupt</t>
  </si>
  <si>
    <r>
      <rPr>
        <b/>
        <sz val="10"/>
        <color theme="1"/>
        <rFont val="Arial Unicode MS"/>
      </rPr>
      <t>o_int_n</t>
    </r>
    <r>
      <rPr>
        <sz val="11"/>
        <color theme="1"/>
        <rFont val="Segoe UI"/>
        <family val="2"/>
      </rPr>
      <t xml:space="preserve"> kích hoạt khi </t>
    </r>
    <r>
      <rPr>
        <b/>
        <sz val="10"/>
        <color theme="1"/>
        <rFont val="Arial Unicode MS"/>
      </rPr>
      <t>TX_DONE = 1</t>
    </r>
    <r>
      <rPr>
        <sz val="11"/>
        <color theme="1"/>
        <rFont val="Segoe UI"/>
        <family val="2"/>
      </rPr>
      <t xml:space="preserve"> hoặc khi </t>
    </r>
    <r>
      <rPr>
        <b/>
        <sz val="10"/>
        <color theme="1"/>
        <rFont val="Arial Unicode MS"/>
      </rPr>
      <t>TX_ERR = 1</t>
    </r>
    <r>
      <rPr>
        <b/>
        <sz val="11"/>
        <color theme="1"/>
        <rFont val="Segoe UI"/>
        <family val="2"/>
      </rPr>
      <t>.</t>
    </r>
  </si>
  <si>
    <t>RX interrupt</t>
  </si>
  <si>
    <r>
      <t xml:space="preserve">Set </t>
    </r>
    <r>
      <rPr>
        <b/>
        <sz val="10"/>
        <color theme="1"/>
        <rFont val="Arial Unicode MS"/>
      </rPr>
      <t>TX_IE = 1</t>
    </r>
    <r>
      <rPr>
        <sz val="11"/>
        <color theme="1"/>
        <rFont val="Segoe UI"/>
        <family val="2"/>
      </rPr>
      <t>, chạy ca ghi (</t>
    </r>
    <r>
      <rPr>
        <b/>
        <sz val="11"/>
        <color theme="1"/>
        <rFont val="Segoe UI"/>
        <family val="2"/>
      </rPr>
      <t>Write</t>
    </r>
    <r>
      <rPr>
        <sz val="11"/>
        <color theme="1"/>
        <rFont val="Segoe UI"/>
        <family val="2"/>
      </rPr>
      <t>) thành công.</t>
    </r>
  </si>
  <si>
    <r>
      <t xml:space="preserve">Set </t>
    </r>
    <r>
      <rPr>
        <b/>
        <sz val="10"/>
        <color theme="1"/>
        <rFont val="Arial Unicode MS"/>
      </rPr>
      <t>RX_IE = 1</t>
    </r>
    <r>
      <rPr>
        <sz val="11"/>
        <color theme="1"/>
        <rFont val="Segoe UI"/>
        <family val="2"/>
      </rPr>
      <t>, chạy ca đọc (</t>
    </r>
    <r>
      <rPr>
        <b/>
        <sz val="11"/>
        <color theme="1"/>
        <rFont val="Segoe UI"/>
        <family val="2"/>
      </rPr>
      <t>Read</t>
    </r>
    <r>
      <rPr>
        <sz val="11"/>
        <color theme="1"/>
        <rFont val="Segoe UI"/>
        <family val="2"/>
      </rPr>
      <t>) thành công.</t>
    </r>
  </si>
  <si>
    <r>
      <rPr>
        <b/>
        <sz val="10"/>
        <color theme="1"/>
        <rFont val="Arial Unicode MS"/>
      </rPr>
      <t>o_int_n</t>
    </r>
    <r>
      <rPr>
        <sz val="11"/>
        <color theme="1"/>
        <rFont val="Segoe UI"/>
        <family val="2"/>
      </rPr>
      <t xml:space="preserve"> kích hoạt khi</t>
    </r>
    <r>
      <rPr>
        <b/>
        <sz val="11"/>
        <color theme="1"/>
        <rFont val="Segoe UI"/>
        <family val="2"/>
      </rPr>
      <t xml:space="preserve"> </t>
    </r>
    <r>
      <rPr>
        <b/>
        <sz val="10"/>
        <color theme="1"/>
        <rFont val="Arial Unicode MS"/>
      </rPr>
      <t>RX_DONE = 1</t>
    </r>
    <r>
      <rPr>
        <sz val="11"/>
        <color theme="1"/>
        <rFont val="Segoe UI"/>
        <family val="2"/>
      </rPr>
      <t xml:space="preserve"> hoặc khi </t>
    </r>
    <r>
      <rPr>
        <b/>
        <sz val="10"/>
        <color theme="1"/>
        <rFont val="Arial Unicode MS"/>
      </rPr>
      <t>RX_ERR = 1</t>
    </r>
    <r>
      <rPr>
        <b/>
        <sz val="11"/>
        <color theme="1"/>
        <rFont val="Segoe UI"/>
        <family val="2"/>
      </rPr>
      <t>.</t>
    </r>
  </si>
  <si>
    <t>Clear interrupt</t>
  </si>
  <si>
    <r>
      <t xml:space="preserve">ghi </t>
    </r>
    <r>
      <rPr>
        <b/>
        <sz val="10"/>
        <color theme="1"/>
        <rFont val="Arial Unicode MS"/>
      </rPr>
      <t>INT_CLR = 1</t>
    </r>
    <r>
      <rPr>
        <sz val="11"/>
        <color theme="1"/>
        <rFont val="Segoe UI"/>
        <family val="2"/>
      </rPr>
      <t>.</t>
    </r>
  </si>
  <si>
    <r>
      <rPr>
        <b/>
        <sz val="10"/>
        <color theme="1"/>
        <rFont val="Arial Unicode MS"/>
      </rPr>
      <t>o_int_n</t>
    </r>
    <r>
      <rPr>
        <sz val="11"/>
        <color theme="1"/>
        <rFont val="Segoe UI"/>
        <family val="2"/>
      </rPr>
      <t xml:space="preserve"> trở lại trạng thái không ngắt; 
</t>
    </r>
    <r>
      <rPr>
        <b/>
        <sz val="11"/>
        <color theme="1"/>
        <rFont val="Segoe UI"/>
        <family val="2"/>
      </rPr>
      <t>Status bits</t>
    </r>
    <r>
      <rPr>
        <sz val="11"/>
        <color theme="1"/>
        <rFont val="Segoe UI"/>
        <family val="2"/>
      </rPr>
      <t xml:space="preserve"> được clear đúng (trừ </t>
    </r>
    <r>
      <rPr>
        <b/>
        <sz val="11"/>
        <color theme="1"/>
        <rFont val="Segoe UI"/>
        <family val="2"/>
      </rPr>
      <t>BUSY</t>
    </r>
    <r>
      <rPr>
        <sz val="11"/>
        <color theme="1"/>
        <rFont val="Segoe UI"/>
        <family val="2"/>
      </rPr>
      <t>)</t>
    </r>
  </si>
  <si>
    <t>9. Trường hợp Lỗi &amp; Biên</t>
  </si>
  <si>
    <r>
      <rPr>
        <b/>
        <sz val="11"/>
        <color theme="1"/>
        <rFont val="Segoe UI"/>
        <family val="2"/>
      </rPr>
      <t>ABORT</t>
    </r>
    <r>
      <rPr>
        <sz val="11"/>
        <color theme="1"/>
        <rFont val="Segoe UI"/>
        <family val="2"/>
      </rPr>
      <t xml:space="preserve"> giữa giao dịch</t>
    </r>
  </si>
  <si>
    <r>
      <t xml:space="preserve">Phát </t>
    </r>
    <r>
      <rPr>
        <b/>
        <sz val="10"/>
        <color theme="1"/>
        <rFont val="Arial Unicode MS"/>
      </rPr>
      <t>ABORT = 1</t>
    </r>
    <r>
      <rPr>
        <sz val="11"/>
        <color theme="1"/>
        <rFont val="Segoe UI"/>
        <family val="2"/>
      </rPr>
      <t xml:space="preserve"> trong lúc đang gửi/nhận.</t>
    </r>
  </si>
  <si>
    <r>
      <rPr>
        <b/>
        <sz val="10"/>
        <color theme="1"/>
        <rFont val="Arial Unicode MS"/>
      </rPr>
      <t>ABORT_ACK = 1</t>
    </r>
    <r>
      <rPr>
        <b/>
        <sz val="11"/>
        <color theme="1"/>
        <rFont val="Segoe UI"/>
        <family val="2"/>
      </rPr>
      <t>,</t>
    </r>
    <r>
      <rPr>
        <sz val="11"/>
        <color theme="1"/>
        <rFont val="Segoe UI"/>
        <family val="2"/>
      </rPr>
      <t xml:space="preserve"> giao dịch kết thúc dự đoán.</t>
    </r>
  </si>
  <si>
    <t>Xác nhận đồng bộ như mô tả 
- LOW quyết định bởi thiết bị có LOW dài nhất
- HIGH bởi thiết bị có HIGH ngắn nhất</t>
  </si>
  <si>
    <t>Waveform phù hợp.</t>
  </si>
  <si>
    <r>
      <t>Glitch filter</t>
    </r>
    <r>
      <rPr>
        <sz val="11"/>
        <color theme="1"/>
        <rFont val="Segoe UI"/>
        <family val="2"/>
      </rPr>
      <t xml:space="preserve"> (Optional)</t>
    </r>
  </si>
  <si>
    <t>Open-drain/wire-AND</t>
  </si>
  <si>
    <r>
      <t xml:space="preserve">Sơ đồ khối có </t>
    </r>
    <r>
      <rPr>
        <b/>
        <sz val="11"/>
        <color theme="1"/>
        <rFont val="Segoe UI"/>
        <family val="2"/>
      </rPr>
      <t>Filter</t>
    </r>
    <r>
      <rPr>
        <sz val="11"/>
        <color theme="1"/>
        <rFont val="Segoe UI"/>
        <family val="2"/>
      </rPr>
      <t xml:space="preserve"> → tiêm xung ngắn trên</t>
    </r>
    <r>
      <rPr>
        <b/>
        <sz val="11"/>
        <color theme="1"/>
        <rFont val="Segoe UI"/>
        <family val="2"/>
      </rPr>
      <t xml:space="preserve"> SDA/SCL</t>
    </r>
    <r>
      <rPr>
        <sz val="11"/>
        <color theme="1"/>
        <rFont val="Segoe UI"/>
        <family val="2"/>
      </rPr>
      <t xml:space="preserve"> và xác nhận không bị nhận nhầm </t>
    </r>
    <r>
      <rPr>
        <b/>
        <sz val="11"/>
        <color theme="1"/>
        <rFont val="Segoe UI"/>
        <family val="2"/>
      </rPr>
      <t>START/STOP/ACK</t>
    </r>
    <r>
      <rPr>
        <sz val="11"/>
        <color theme="1"/>
        <rFont val="Segoe UI"/>
        <family val="2"/>
      </rPr>
      <t>.</t>
    </r>
  </si>
  <si>
    <t>Không phát hiện sự kiện giả.</t>
  </si>
  <si>
    <r>
      <t xml:space="preserve">Khi </t>
    </r>
    <r>
      <rPr>
        <b/>
        <sz val="11"/>
        <color theme="1"/>
        <rFont val="Segoe UI"/>
        <family val="2"/>
      </rPr>
      <t>Master</t>
    </r>
    <r>
      <rPr>
        <sz val="11"/>
        <color theme="1"/>
        <rFont val="Segoe UI"/>
        <family val="2"/>
      </rPr>
      <t xml:space="preserve"> nhả</t>
    </r>
    <r>
      <rPr>
        <b/>
        <sz val="11"/>
        <color theme="1"/>
        <rFont val="Segoe UI"/>
        <family val="2"/>
      </rPr>
      <t xml:space="preserve"> SDA = 1 </t>
    </r>
    <r>
      <rPr>
        <sz val="11"/>
        <color theme="1"/>
        <rFont val="Segoe UI"/>
        <family val="2"/>
      </rPr>
      <t xml:space="preserve">nhưng </t>
    </r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kéo xuống</t>
    </r>
    <r>
      <rPr>
        <sz val="11"/>
        <color theme="1"/>
        <rFont val="Segoe UI"/>
        <family val="2"/>
      </rPr>
      <t xml:space="preserve"> </t>
    </r>
    <r>
      <rPr>
        <b/>
        <sz val="11"/>
        <color theme="1"/>
        <rFont val="Segoe UI"/>
        <family val="2"/>
      </rPr>
      <t>0</t>
    </r>
    <r>
      <rPr>
        <sz val="11"/>
        <color theme="1"/>
        <rFont val="Segoe UI"/>
        <family val="2"/>
      </rPr>
      <t xml:space="preserve"> → mức </t>
    </r>
    <r>
      <rPr>
        <b/>
        <sz val="11"/>
        <color theme="1"/>
        <rFont val="Segoe UI"/>
        <family val="2"/>
      </rPr>
      <t>bus = 0.</t>
    </r>
  </si>
  <si>
    <r>
      <rPr>
        <b/>
        <sz val="11"/>
        <color theme="1"/>
        <rFont val="Segoe UI"/>
        <family val="2"/>
      </rPr>
      <t>Bit đọc ra</t>
    </r>
    <r>
      <rPr>
        <sz val="11"/>
        <color theme="1"/>
        <rFont val="Segoe UI"/>
        <family val="2"/>
      </rPr>
      <t xml:space="preserve"> là </t>
    </r>
    <r>
      <rPr>
        <b/>
        <sz val="11"/>
        <color theme="1"/>
        <rFont val="Segoe UI"/>
        <family val="2"/>
      </rPr>
      <t>0</t>
    </r>
    <r>
      <rPr>
        <sz val="11"/>
        <color theme="1"/>
        <rFont val="Segoe UI"/>
        <family val="2"/>
      </rPr>
      <t xml:space="preserve"> (chi phối bởi tác nhân kéo thấp).</t>
    </r>
  </si>
  <si>
    <t>10. Đối chiếu Waveform mẫu (o_int_n)</t>
  </si>
  <si>
    <t>Transmit</t>
  </si>
  <si>
    <t>Receive</t>
  </si>
  <si>
    <t>Trình tự, nhịp và cờ trạng thái trùng khớp theo mô tả.</t>
  </si>
  <si>
    <t>Repeated Start</t>
  </si>
  <si>
    <r>
      <t xml:space="preserve">Không có </t>
    </r>
    <r>
      <rPr>
        <b/>
        <sz val="11"/>
        <color theme="1"/>
        <rFont val="Segoe UI"/>
        <family val="2"/>
      </rPr>
      <t>STOP</t>
    </r>
    <r>
      <rPr>
        <sz val="11"/>
        <color theme="1"/>
        <rFont val="Segoe UI"/>
        <family val="2"/>
      </rPr>
      <t xml:space="preserve"> giữa </t>
    </r>
    <r>
      <rPr>
        <b/>
        <sz val="11"/>
        <color theme="1"/>
        <rFont val="Segoe UI"/>
        <family val="2"/>
      </rPr>
      <t>2 START</t>
    </r>
    <r>
      <rPr>
        <sz val="11"/>
        <color theme="1"/>
        <rFont val="Segoe UI"/>
        <family val="2"/>
      </rPr>
      <t>, địa chỉ giữ nguyên.</t>
    </r>
  </si>
  <si>
    <r>
      <t>So waveform với</t>
    </r>
    <r>
      <rPr>
        <b/>
        <sz val="11"/>
        <color theme="1"/>
        <rFont val="Segoe UI"/>
        <family val="2"/>
      </rPr>
      <t xml:space="preserve"> </t>
    </r>
    <r>
      <rPr>
        <b/>
        <i/>
        <sz val="11"/>
        <color theme="1"/>
        <rFont val="Segoe UI"/>
        <family val="2"/>
      </rPr>
      <t>Figure 4</t>
    </r>
    <r>
      <rPr>
        <b/>
        <sz val="11"/>
        <color theme="1"/>
        <rFont val="Segoe UI"/>
        <family val="2"/>
      </rPr>
      <t xml:space="preserve"> – START/địa chỉ/ACK/TX_DONE/BUSY.</t>
    </r>
  </si>
  <si>
    <r>
      <t xml:space="preserve">So waveform với </t>
    </r>
    <r>
      <rPr>
        <b/>
        <i/>
        <sz val="11"/>
        <color theme="1"/>
        <rFont val="Segoe UI"/>
        <family val="2"/>
      </rPr>
      <t>Figure 5</t>
    </r>
    <r>
      <rPr>
        <sz val="11"/>
        <color theme="1"/>
        <rFont val="Segoe UI"/>
        <family val="2"/>
      </rPr>
      <t xml:space="preserve"> – </t>
    </r>
    <r>
      <rPr>
        <b/>
        <sz val="11"/>
        <color theme="1"/>
        <rFont val="Segoe UI"/>
        <family val="2"/>
      </rPr>
      <t>START/địa chỉ/ACK/RX_DONE/BUSY.</t>
    </r>
  </si>
  <si>
    <r>
      <t xml:space="preserve">So waveform với </t>
    </r>
    <r>
      <rPr>
        <b/>
        <i/>
        <sz val="11"/>
        <color theme="1"/>
        <rFont val="Segoe UI"/>
        <family val="2"/>
      </rPr>
      <t>Figure 6</t>
    </r>
    <r>
      <rPr>
        <sz val="11"/>
        <color theme="1"/>
        <rFont val="Segoe UI"/>
        <family val="2"/>
      </rPr>
      <t xml:space="preserve"> – </t>
    </r>
    <r>
      <rPr>
        <b/>
        <sz val="11"/>
        <color theme="1"/>
        <rFont val="Segoe UI"/>
        <family val="2"/>
      </rPr>
      <t>SR</t>
    </r>
    <r>
      <rPr>
        <sz val="11"/>
        <color theme="1"/>
        <rFont val="Segoe UI"/>
        <family val="2"/>
      </rPr>
      <t xml:space="preserve"> giữa hai pha.</t>
    </r>
  </si>
  <si>
    <r>
      <rPr>
        <b/>
        <sz val="11"/>
        <color theme="1"/>
        <rFont val="Segoe UI"/>
        <family val="2"/>
      </rPr>
      <t>Slave</t>
    </r>
    <r>
      <rPr>
        <sz val="11"/>
        <color theme="1"/>
        <rFont val="Segoe UI"/>
        <family val="2"/>
      </rPr>
      <t xml:space="preserve"> kéo </t>
    </r>
    <r>
      <rPr>
        <b/>
        <sz val="11"/>
        <color theme="1"/>
        <rFont val="Segoe UI"/>
        <family val="2"/>
      </rPr>
      <t>SCL</t>
    </r>
    <r>
      <rPr>
        <sz val="11"/>
        <color theme="1"/>
        <rFont val="Segoe UI"/>
        <family val="2"/>
      </rPr>
      <t xml:space="preserve"> lâu </t>
    </r>
    <r>
      <rPr>
        <b/>
        <sz val="11"/>
        <color theme="1"/>
        <rFont val="Segoe UI"/>
        <family val="2"/>
      </rPr>
      <t>(clock stretching)</t>
    </r>
  </si>
  <si>
    <t>11. Gợi ts Coverage (để biết đã phủ đủ testcase)</t>
  </si>
  <si>
    <t>Địa chỉ</t>
  </si>
  <si>
    <t>Hướng truyền</t>
  </si>
  <si>
    <t>Số byte</t>
  </si>
  <si>
    <t>Repeated START</t>
  </si>
  <si>
    <r>
      <t xml:space="preserve">Dùng / Không dùng
</t>
    </r>
    <r>
      <rPr>
        <b/>
        <sz val="11"/>
        <color theme="1"/>
        <rFont val="Segoe UI"/>
        <family val="2"/>
      </rPr>
      <t>SR</t>
    </r>
    <r>
      <rPr>
        <sz val="11"/>
        <color theme="1"/>
        <rFont val="Segoe UI"/>
        <family val="2"/>
      </rPr>
      <t xml:space="preserve"> trước </t>
    </r>
    <r>
      <rPr>
        <b/>
        <sz val="10"/>
        <color theme="1"/>
        <rFont val="Arial Unicode MS"/>
      </rPr>
      <t>TX_DONE/RX_DONE</t>
    </r>
    <r>
      <rPr>
        <b/>
        <sz val="11"/>
        <color theme="1"/>
        <rFont val="Segoe UI"/>
        <family val="2"/>
      </rPr>
      <t>.</t>
    </r>
  </si>
  <si>
    <t>Speed</t>
  </si>
  <si>
    <t>- 100 kHz
- 400 kHz
- Vài giá trị DIV khác.</t>
  </si>
  <si>
    <t>Lỗi</t>
  </si>
  <si>
    <t>Ngắt</t>
  </si>
  <si>
    <r>
      <t>Bật/tắt</t>
    </r>
    <r>
      <rPr>
        <b/>
        <sz val="11"/>
        <color theme="1"/>
        <rFont val="Segoe UI"/>
        <family val="2"/>
      </rPr>
      <t xml:space="preserve"> TX_IE, RX_IE; INT_CLR</t>
    </r>
  </si>
  <si>
    <r>
      <t xml:space="preserve">- TX_ERR
- RX_ERR
- ABORT
- </t>
    </r>
    <r>
      <rPr>
        <sz val="11"/>
        <color theme="1"/>
        <rFont val="Segoe UI"/>
        <family val="2"/>
      </rPr>
      <t>Bus busy</t>
    </r>
    <r>
      <rPr>
        <b/>
        <sz val="11"/>
        <color theme="1"/>
        <rFont val="Segoe UI"/>
        <family val="2"/>
      </rPr>
      <t xml:space="preserve">
- </t>
    </r>
    <r>
      <rPr>
        <sz val="11"/>
        <color theme="1"/>
        <rFont val="Segoe UI"/>
        <family val="2"/>
      </rPr>
      <t>Clock stretching kéo dài</t>
    </r>
  </si>
  <si>
    <r>
      <rPr>
        <b/>
        <sz val="11"/>
        <color theme="1"/>
        <rFont val="Segoe UI"/>
        <family val="2"/>
      </rPr>
      <t>0 (ACK)</t>
    </r>
    <r>
      <rPr>
        <sz val="11"/>
        <color theme="1"/>
        <rFont val="Segoe UI"/>
        <family val="2"/>
      </rPr>
      <t xml:space="preserve"> vs </t>
    </r>
    <r>
      <rPr>
        <b/>
        <sz val="11"/>
        <color theme="1"/>
        <rFont val="Segoe UI"/>
        <family val="2"/>
      </rPr>
      <t>1 (NACK)</t>
    </r>
    <r>
      <rPr>
        <sz val="11"/>
        <color theme="1"/>
        <rFont val="Segoe UI"/>
        <family val="2"/>
      </rPr>
      <t xml:space="preserve"> cho byte cuối.</t>
    </r>
  </si>
  <si>
    <r>
      <t xml:space="preserve">- 1
- N&gt;1
- Biên </t>
    </r>
    <r>
      <rPr>
        <b/>
        <sz val="10"/>
        <color theme="1"/>
        <rFont val="Arial Unicode MS"/>
      </rPr>
      <t>i_byte_cnt_reg.</t>
    </r>
  </si>
  <si>
    <r>
      <rPr>
        <b/>
        <sz val="11"/>
        <color theme="1"/>
        <rFont val="Segoe UI"/>
        <family val="2"/>
      </rPr>
      <t>Write</t>
    </r>
    <r>
      <rPr>
        <sz val="11"/>
        <color theme="1"/>
        <rFont val="Segoe UI"/>
        <family val="2"/>
      </rPr>
      <t xml:space="preserve"> (từ </t>
    </r>
    <r>
      <rPr>
        <b/>
        <sz val="11"/>
        <color theme="1"/>
        <rFont val="Segoe UI"/>
        <family val="2"/>
      </rPr>
      <t>Master → Slave</t>
    </r>
    <r>
      <rPr>
        <sz val="11"/>
        <color theme="1"/>
        <rFont val="Segoe UI"/>
        <family val="2"/>
      </rPr>
      <t xml:space="preserve">) / </t>
    </r>
    <r>
      <rPr>
        <b/>
        <sz val="11"/>
        <color theme="1"/>
        <rFont val="Segoe UI"/>
        <family val="2"/>
      </rPr>
      <t>Read</t>
    </r>
    <r>
      <rPr>
        <sz val="11"/>
        <color theme="1"/>
        <rFont val="Segoe UI"/>
        <family val="2"/>
      </rPr>
      <t xml:space="preserve"> (từ </t>
    </r>
    <r>
      <rPr>
        <b/>
        <sz val="11"/>
        <color theme="1"/>
        <rFont val="Segoe UI"/>
        <family val="2"/>
      </rPr>
      <t>Slave → Master</t>
    </r>
    <r>
      <rPr>
        <sz val="11"/>
        <color theme="1"/>
        <rFont val="Segoe UI"/>
        <family val="2"/>
      </rPr>
      <t>)</t>
    </r>
  </si>
  <si>
    <r>
      <rPr>
        <b/>
        <sz val="11"/>
        <color theme="1"/>
        <rFont val="Segoe UI"/>
        <family val="2"/>
      </rPr>
      <t>ACK</t>
    </r>
    <r>
      <rPr>
        <sz val="11"/>
        <color theme="1"/>
        <rFont val="Segoe UI"/>
        <family val="2"/>
      </rPr>
      <t xml:space="preserve"> vs </t>
    </r>
    <r>
      <rPr>
        <b/>
        <sz val="11"/>
        <color theme="1"/>
        <rFont val="Segoe UI"/>
        <family val="2"/>
      </rPr>
      <t>NACK</t>
    </r>
    <r>
      <rPr>
        <sz val="11"/>
        <color theme="1"/>
        <rFont val="Segoe UI"/>
        <family val="2"/>
      </rPr>
      <t xml:space="preserve"> ở </t>
    </r>
    <r>
      <rPr>
        <b/>
        <sz val="11"/>
        <color theme="1"/>
        <rFont val="Segoe UI"/>
        <family val="2"/>
      </rPr>
      <t>pha địa chỉ.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</si>
</sst>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b/>
      <i/>
      <sz val="11"/>
      <color theme="1"/>
      <name val="Segoe UI"/>
      <family val="2"/>
    </font>
    <font>
      <b/>
      <sz val="11"/>
      <color rgb="FFFF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vertical="center" wrapText="1"/>
    </xf>
    <xf numFmtId="0" fontId="0" fillId="7" borderId="1" xfId="0" applyFill="1" applyBorder="1"/>
    <xf numFmtId="0" fontId="6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9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11" fillId="8" borderId="1" xfId="0" quotePrefix="1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9" fillId="8" borderId="1" xfId="0" quotePrefix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2" xfId="0" quotePrefix="1" applyFont="1" applyFill="1" applyBorder="1" applyAlignment="1">
      <alignment horizontal="left" vertical="center" wrapText="1"/>
    </xf>
    <xf numFmtId="0" fontId="4" fillId="4" borderId="3" xfId="0" quotePrefix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10" borderId="1" xfId="0" applyFont="1" applyFill="1" applyBorder="1" applyAlignment="1">
      <alignment horizontal="center" vertical="center"/>
    </xf>
    <xf numFmtId="0" fontId="10" fillId="10" borderId="1" xfId="0" quotePrefix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00B050"/>
      </font>
    </dxf>
    <dxf>
      <font>
        <b/>
        <i val="0"/>
        <color rgb="FF7030A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84"/>
  <sheetViews>
    <sheetView tabSelected="1" zoomScale="89" zoomScaleNormal="89" workbookViewId="0">
      <selection activeCell="D11" sqref="D11:E11"/>
    </sheetView>
  </sheetViews>
  <sheetFormatPr defaultRowHeight="15"/>
  <cols>
    <col min="2" max="2" width="3.5703125" style="10" bestFit="1" customWidth="1"/>
    <col min="3" max="3" width="46" customWidth="1"/>
    <col min="4" max="4" width="68.85546875" customWidth="1"/>
    <col min="5" max="5" width="69" customWidth="1"/>
    <col min="7" max="7" width="10" bestFit="1" customWidth="1"/>
    <col min="8" max="8" width="14.5703125" customWidth="1"/>
  </cols>
  <sheetData>
    <row r="3" spans="2:9">
      <c r="B3" s="34"/>
      <c r="C3" s="34"/>
      <c r="D3" s="34"/>
      <c r="E3" s="34"/>
      <c r="F3" s="34"/>
    </row>
    <row r="4" spans="2:9" ht="36">
      <c r="B4" s="35" t="s">
        <v>5</v>
      </c>
      <c r="C4" s="35"/>
      <c r="D4" s="35"/>
      <c r="E4" s="35"/>
      <c r="F4" s="35"/>
      <c r="I4" s="1" t="s">
        <v>3</v>
      </c>
    </row>
    <row r="5" spans="2:9">
      <c r="B5" s="34"/>
      <c r="C5" s="34"/>
      <c r="D5" s="34"/>
      <c r="E5" s="34"/>
      <c r="F5" s="34"/>
      <c r="I5" s="8"/>
    </row>
    <row r="6" spans="2:9" ht="35.25" customHeight="1">
      <c r="B6" s="29" t="s">
        <v>6</v>
      </c>
      <c r="C6" s="29"/>
      <c r="D6" s="29"/>
      <c r="E6" s="29"/>
      <c r="F6" s="29"/>
      <c r="I6" s="5" t="s">
        <v>4</v>
      </c>
    </row>
    <row r="7" spans="2:9" s="10" customFormat="1" ht="31.5">
      <c r="B7" s="2" t="s">
        <v>0</v>
      </c>
      <c r="C7" s="2" t="s">
        <v>1</v>
      </c>
      <c r="D7" s="30" t="s">
        <v>2</v>
      </c>
      <c r="E7" s="31"/>
      <c r="F7" s="2" t="s">
        <v>3</v>
      </c>
      <c r="I7" s="9" t="s">
        <v>9</v>
      </c>
    </row>
    <row r="8" spans="2:9" ht="47.25" customHeight="1">
      <c r="B8" s="6">
        <v>1</v>
      </c>
      <c r="C8" s="3" t="s">
        <v>7</v>
      </c>
      <c r="D8" s="32" t="s">
        <v>8</v>
      </c>
      <c r="E8" s="33"/>
      <c r="F8" s="9" t="str">
        <f>IF(G8=FALSE,$I$7,$I$6)</f>
        <v>Undone</v>
      </c>
      <c r="G8" s="12" t="b">
        <v>0</v>
      </c>
    </row>
    <row r="9" spans="2:9" ht="31.5" customHeight="1">
      <c r="B9" s="6">
        <v>2</v>
      </c>
      <c r="C9" s="3" t="s">
        <v>10</v>
      </c>
      <c r="D9" s="32" t="s">
        <v>11</v>
      </c>
      <c r="E9" s="33"/>
      <c r="F9" s="9" t="str">
        <f t="shared" ref="F9:F11" si="0">IF(G9=FALSE,$I$7,$I$6)</f>
        <v>Undone</v>
      </c>
      <c r="G9" s="12" t="b">
        <v>0</v>
      </c>
    </row>
    <row r="10" spans="2:9" ht="15.75">
      <c r="B10" s="6">
        <v>3</v>
      </c>
      <c r="C10" s="3" t="s">
        <v>12</v>
      </c>
      <c r="D10" s="32" t="s">
        <v>13</v>
      </c>
      <c r="E10" s="33"/>
      <c r="F10" s="9" t="str">
        <f t="shared" si="0"/>
        <v>Undone</v>
      </c>
      <c r="G10" s="12" t="b">
        <v>0</v>
      </c>
    </row>
    <row r="11" spans="2:9" ht="15.75">
      <c r="B11" s="6">
        <v>4</v>
      </c>
      <c r="C11" s="3" t="s">
        <v>14</v>
      </c>
      <c r="D11" s="32" t="s">
        <v>15</v>
      </c>
      <c r="E11" s="33"/>
      <c r="F11" s="9" t="str">
        <f t="shared" si="0"/>
        <v>Undone</v>
      </c>
      <c r="G11" s="12" t="b">
        <v>0</v>
      </c>
    </row>
    <row r="12" spans="2:9" ht="42" customHeight="1">
      <c r="B12" s="29" t="s">
        <v>16</v>
      </c>
      <c r="C12" s="29"/>
      <c r="D12" s="29"/>
      <c r="E12" s="29"/>
      <c r="F12" s="29"/>
    </row>
    <row r="13" spans="2:9" s="10" customFormat="1" ht="31.5">
      <c r="B13" s="2" t="s">
        <v>0</v>
      </c>
      <c r="C13" s="2" t="s">
        <v>1</v>
      </c>
      <c r="D13" s="2" t="s">
        <v>2</v>
      </c>
      <c r="E13" s="2" t="s">
        <v>19</v>
      </c>
      <c r="F13" s="2" t="s">
        <v>3</v>
      </c>
    </row>
    <row r="14" spans="2:9" ht="63">
      <c r="B14" s="6">
        <v>6</v>
      </c>
      <c r="C14" s="3" t="s">
        <v>17</v>
      </c>
      <c r="D14" s="7" t="s">
        <v>18</v>
      </c>
      <c r="E14" s="7" t="s">
        <v>20</v>
      </c>
      <c r="F14" s="11" t="str">
        <f>IF(G14=FALSE,$I$7,$I$6)</f>
        <v>Undone</v>
      </c>
      <c r="G14" s="12" t="b">
        <v>0</v>
      </c>
    </row>
    <row r="15" spans="2:9" ht="47.25">
      <c r="B15" s="6">
        <v>7</v>
      </c>
      <c r="C15" s="4" t="s">
        <v>21</v>
      </c>
      <c r="D15" s="7" t="s">
        <v>22</v>
      </c>
      <c r="E15" s="3" t="s">
        <v>23</v>
      </c>
      <c r="F15" s="11" t="str">
        <f t="shared" ref="F15:F30" si="1">IF(G15=FALSE,$I$7,$I$6)</f>
        <v>Undone</v>
      </c>
      <c r="G15" s="12" t="b">
        <v>0</v>
      </c>
    </row>
    <row r="16" spans="2:9" ht="47.25">
      <c r="B16" s="6">
        <v>8</v>
      </c>
      <c r="C16" s="4" t="s">
        <v>24</v>
      </c>
      <c r="D16" s="7" t="s">
        <v>26</v>
      </c>
      <c r="E16" s="7" t="s">
        <v>78</v>
      </c>
      <c r="F16" s="11" t="str">
        <f t="shared" si="1"/>
        <v>Undone</v>
      </c>
      <c r="G16" s="12" t="b">
        <v>0</v>
      </c>
    </row>
    <row r="17" spans="2:7" ht="47.25">
      <c r="B17" s="6">
        <v>9</v>
      </c>
      <c r="C17" s="4" t="s">
        <v>25</v>
      </c>
      <c r="D17" s="7" t="s">
        <v>27</v>
      </c>
      <c r="E17" s="14" t="s">
        <v>28</v>
      </c>
      <c r="F17" s="11" t="str">
        <f t="shared" si="1"/>
        <v>Undone</v>
      </c>
      <c r="G17" s="12" t="b">
        <v>0</v>
      </c>
    </row>
    <row r="18" spans="2:7" ht="47.25">
      <c r="B18" s="6">
        <v>10</v>
      </c>
      <c r="C18" s="4" t="s">
        <v>29</v>
      </c>
      <c r="D18" s="7" t="s">
        <v>30</v>
      </c>
      <c r="E18" s="3" t="s">
        <v>31</v>
      </c>
      <c r="F18" s="11" t="str">
        <f t="shared" si="1"/>
        <v>Undone</v>
      </c>
      <c r="G18" s="12" t="b">
        <v>0</v>
      </c>
    </row>
    <row r="19" spans="2:7" ht="15.75">
      <c r="B19" s="6">
        <v>11</v>
      </c>
      <c r="C19" s="3" t="s">
        <v>32</v>
      </c>
      <c r="D19" s="7" t="s">
        <v>41</v>
      </c>
      <c r="E19" s="3" t="s">
        <v>33</v>
      </c>
      <c r="F19" s="11" t="str">
        <f t="shared" si="1"/>
        <v>Undone</v>
      </c>
      <c r="G19" s="12" t="b">
        <v>0</v>
      </c>
    </row>
    <row r="20" spans="2:7" ht="64.5" customHeight="1">
      <c r="B20" s="6">
        <v>12</v>
      </c>
      <c r="C20" s="4" t="s">
        <v>34</v>
      </c>
      <c r="D20" s="3" t="s">
        <v>35</v>
      </c>
      <c r="E20" s="3" t="s">
        <v>36</v>
      </c>
      <c r="F20" s="11" t="str">
        <f t="shared" si="1"/>
        <v>Undone</v>
      </c>
      <c r="G20" s="12" t="b">
        <v>0</v>
      </c>
    </row>
    <row r="21" spans="2:7" ht="38.25" customHeight="1">
      <c r="B21" s="6">
        <v>13</v>
      </c>
      <c r="C21" s="3" t="s">
        <v>37</v>
      </c>
      <c r="D21" s="4" t="s">
        <v>38</v>
      </c>
      <c r="E21" s="3" t="s">
        <v>39</v>
      </c>
      <c r="F21" s="11" t="str">
        <f t="shared" si="1"/>
        <v>Undone</v>
      </c>
      <c r="G21" s="12" t="b">
        <v>0</v>
      </c>
    </row>
    <row r="22" spans="2:7" ht="23.25" customHeight="1">
      <c r="B22" s="6">
        <v>14</v>
      </c>
      <c r="C22" s="4" t="s">
        <v>40</v>
      </c>
      <c r="D22" s="3" t="s">
        <v>42</v>
      </c>
      <c r="E22" s="14" t="s">
        <v>43</v>
      </c>
      <c r="F22" s="11" t="str">
        <f t="shared" si="1"/>
        <v>Undone</v>
      </c>
      <c r="G22" s="12" t="b">
        <v>0</v>
      </c>
    </row>
    <row r="23" spans="2:7" ht="39.75" customHeight="1">
      <c r="B23" s="29" t="s">
        <v>44</v>
      </c>
      <c r="C23" s="29"/>
      <c r="D23" s="29"/>
      <c r="E23" s="29"/>
      <c r="F23" s="29"/>
      <c r="G23" s="13"/>
    </row>
    <row r="24" spans="2:7" ht="31.5">
      <c r="B24" s="2" t="s">
        <v>0</v>
      </c>
      <c r="C24" s="2" t="s">
        <v>1</v>
      </c>
      <c r="D24" s="2" t="s">
        <v>2</v>
      </c>
      <c r="E24" s="2" t="s">
        <v>19</v>
      </c>
      <c r="F24" s="2" t="s">
        <v>3</v>
      </c>
      <c r="G24" s="13"/>
    </row>
    <row r="25" spans="2:7" ht="30.75" customHeight="1">
      <c r="B25" s="6">
        <v>15</v>
      </c>
      <c r="C25" s="4" t="s">
        <v>45</v>
      </c>
      <c r="D25" s="14" t="s">
        <v>46</v>
      </c>
      <c r="E25" s="3" t="s">
        <v>47</v>
      </c>
      <c r="F25" s="11" t="str">
        <f t="shared" si="1"/>
        <v>Undone</v>
      </c>
      <c r="G25" s="12" t="b">
        <v>0</v>
      </c>
    </row>
    <row r="26" spans="2:7" ht="30" customHeight="1">
      <c r="B26" s="6">
        <v>16</v>
      </c>
      <c r="C26" s="15" t="s">
        <v>48</v>
      </c>
      <c r="D26" s="16" t="s">
        <v>51</v>
      </c>
      <c r="E26" s="14" t="s">
        <v>49</v>
      </c>
      <c r="F26" s="11" t="str">
        <f t="shared" si="1"/>
        <v>Undone</v>
      </c>
      <c r="G26" s="12" t="b">
        <v>0</v>
      </c>
    </row>
    <row r="27" spans="2:7" ht="27.75" customHeight="1">
      <c r="B27" s="6">
        <v>17</v>
      </c>
      <c r="C27" s="17" t="s">
        <v>50</v>
      </c>
      <c r="D27" s="14" t="s">
        <v>52</v>
      </c>
      <c r="E27" s="16" t="s">
        <v>53</v>
      </c>
      <c r="F27" s="11" t="str">
        <f t="shared" si="1"/>
        <v>Undone</v>
      </c>
      <c r="G27" s="12" t="b">
        <v>0</v>
      </c>
    </row>
    <row r="28" spans="2:7" ht="24.75" customHeight="1">
      <c r="B28" s="6">
        <v>18</v>
      </c>
      <c r="C28" s="14" t="s">
        <v>54</v>
      </c>
      <c r="D28" s="16" t="s">
        <v>55</v>
      </c>
      <c r="E28" s="14" t="s">
        <v>56</v>
      </c>
      <c r="F28" s="11" t="str">
        <f t="shared" si="1"/>
        <v>Undone</v>
      </c>
      <c r="G28" s="12" t="b">
        <v>0</v>
      </c>
    </row>
    <row r="29" spans="2:7" ht="45" customHeight="1">
      <c r="B29" s="6">
        <v>19</v>
      </c>
      <c r="C29" s="17" t="s">
        <v>57</v>
      </c>
      <c r="D29" s="18" t="s">
        <v>58</v>
      </c>
      <c r="E29" s="16" t="s">
        <v>59</v>
      </c>
      <c r="F29" s="11" t="str">
        <f>IF(G29=FALSE,$I$7,$I$6)</f>
        <v>Undone</v>
      </c>
      <c r="G29" s="12" t="b">
        <v>0</v>
      </c>
    </row>
    <row r="30" spans="2:7" ht="57.75" customHeight="1">
      <c r="B30" s="6">
        <v>20</v>
      </c>
      <c r="C30" s="17" t="s">
        <v>60</v>
      </c>
      <c r="D30" s="18" t="s">
        <v>61</v>
      </c>
      <c r="E30" s="16" t="s">
        <v>62</v>
      </c>
      <c r="F30" s="11" t="str">
        <f t="shared" si="1"/>
        <v>Undone</v>
      </c>
      <c r="G30" s="12" t="b">
        <v>0</v>
      </c>
    </row>
    <row r="31" spans="2:7" ht="37.5" customHeight="1">
      <c r="B31" s="29" t="s">
        <v>63</v>
      </c>
      <c r="C31" s="29"/>
      <c r="D31" s="29"/>
      <c r="E31" s="29"/>
      <c r="F31" s="29"/>
      <c r="G31" s="13"/>
    </row>
    <row r="32" spans="2:7" ht="31.5">
      <c r="B32" s="2" t="s">
        <v>0</v>
      </c>
      <c r="C32" s="2" t="s">
        <v>1</v>
      </c>
      <c r="D32" s="2" t="s">
        <v>2</v>
      </c>
      <c r="E32" s="2" t="s">
        <v>19</v>
      </c>
      <c r="F32" s="2" t="s">
        <v>3</v>
      </c>
      <c r="G32" s="13"/>
    </row>
    <row r="33" spans="2:7" ht="38.25" customHeight="1">
      <c r="B33" s="6">
        <v>21</v>
      </c>
      <c r="C33" s="16" t="s">
        <v>64</v>
      </c>
      <c r="D33" s="18" t="s">
        <v>76</v>
      </c>
      <c r="E33" s="20" t="s">
        <v>65</v>
      </c>
      <c r="F33" s="11" t="str">
        <f t="shared" ref="F33:F51" si="2">IF(G33=FALSE,$I$7,$I$6)</f>
        <v>Undone</v>
      </c>
      <c r="G33" s="12" t="b">
        <v>0</v>
      </c>
    </row>
    <row r="34" spans="2:7" ht="37.5" customHeight="1">
      <c r="B34" s="6">
        <v>22</v>
      </c>
      <c r="C34" s="14" t="s">
        <v>66</v>
      </c>
      <c r="D34" s="18" t="s">
        <v>67</v>
      </c>
      <c r="E34" s="16" t="s">
        <v>68</v>
      </c>
      <c r="F34" s="11" t="str">
        <f t="shared" si="2"/>
        <v>Undone</v>
      </c>
      <c r="G34" s="12" t="b">
        <v>0</v>
      </c>
    </row>
    <row r="35" spans="2:7" ht="29.25" customHeight="1">
      <c r="B35" s="6">
        <v>23</v>
      </c>
      <c r="C35" s="16" t="s">
        <v>69</v>
      </c>
      <c r="D35" s="16" t="s">
        <v>81</v>
      </c>
      <c r="E35" s="21" t="s">
        <v>70</v>
      </c>
      <c r="F35" s="11" t="str">
        <f t="shared" si="2"/>
        <v>Undone</v>
      </c>
      <c r="G35" s="12" t="b">
        <v>0</v>
      </c>
    </row>
    <row r="36" spans="2:7" ht="28.5" customHeight="1">
      <c r="B36" s="6">
        <v>24</v>
      </c>
      <c r="C36" s="16" t="s">
        <v>71</v>
      </c>
      <c r="D36" s="16" t="s">
        <v>72</v>
      </c>
      <c r="E36" s="21" t="s">
        <v>73</v>
      </c>
      <c r="F36" s="11" t="str">
        <f t="shared" si="2"/>
        <v>Undone</v>
      </c>
      <c r="G36" s="12" t="b">
        <v>0</v>
      </c>
    </row>
    <row r="37" spans="2:7" ht="26.25">
      <c r="B37" s="29" t="s">
        <v>74</v>
      </c>
      <c r="C37" s="29"/>
      <c r="D37" s="29"/>
      <c r="E37" s="29"/>
      <c r="F37" s="29"/>
      <c r="G37" s="13"/>
    </row>
    <row r="38" spans="2:7" ht="31.5">
      <c r="B38" s="2" t="s">
        <v>0</v>
      </c>
      <c r="C38" s="2" t="s">
        <v>1</v>
      </c>
      <c r="D38" s="2" t="s">
        <v>2</v>
      </c>
      <c r="E38" s="2" t="s">
        <v>19</v>
      </c>
      <c r="F38" s="2" t="s">
        <v>3</v>
      </c>
      <c r="G38" s="13"/>
    </row>
    <row r="39" spans="2:7" ht="40.5" customHeight="1">
      <c r="B39" s="6">
        <v>25</v>
      </c>
      <c r="C39" s="16" t="s">
        <v>64</v>
      </c>
      <c r="D39" s="18" t="s">
        <v>77</v>
      </c>
      <c r="E39" s="23" t="s">
        <v>79</v>
      </c>
      <c r="F39" s="11" t="str">
        <f t="shared" si="2"/>
        <v>Undone</v>
      </c>
      <c r="G39" s="12" t="b">
        <v>0</v>
      </c>
    </row>
    <row r="40" spans="2:7" ht="30" customHeight="1">
      <c r="B40" s="6">
        <v>26</v>
      </c>
      <c r="C40" s="14" t="s">
        <v>80</v>
      </c>
      <c r="D40" s="16" t="s">
        <v>82</v>
      </c>
      <c r="E40" s="20" t="s">
        <v>83</v>
      </c>
      <c r="F40" s="11" t="str">
        <f t="shared" si="2"/>
        <v>Undone</v>
      </c>
      <c r="G40" s="12" t="b">
        <v>0</v>
      </c>
    </row>
    <row r="41" spans="2:7" ht="42.75" customHeight="1">
      <c r="B41" s="6">
        <v>27</v>
      </c>
      <c r="C41" s="17" t="s">
        <v>84</v>
      </c>
      <c r="D41" s="19" t="s">
        <v>85</v>
      </c>
      <c r="E41" s="16" t="s">
        <v>86</v>
      </c>
      <c r="F41" s="11" t="str">
        <f t="shared" si="2"/>
        <v>Undone</v>
      </c>
      <c r="G41" s="12" t="b">
        <v>0</v>
      </c>
    </row>
    <row r="42" spans="2:7" ht="26.25">
      <c r="B42" s="29" t="s">
        <v>75</v>
      </c>
      <c r="C42" s="29"/>
      <c r="D42" s="29"/>
      <c r="E42" s="29"/>
      <c r="F42" s="29"/>
      <c r="G42" s="13"/>
    </row>
    <row r="43" spans="2:7" ht="31.5">
      <c r="B43" s="2" t="s">
        <v>0</v>
      </c>
      <c r="C43" s="2" t="s">
        <v>1</v>
      </c>
      <c r="D43" s="2" t="s">
        <v>2</v>
      </c>
      <c r="E43" s="2" t="s">
        <v>19</v>
      </c>
      <c r="F43" s="2" t="s">
        <v>3</v>
      </c>
      <c r="G43" s="13"/>
    </row>
    <row r="44" spans="2:7" ht="40.5" customHeight="1">
      <c r="B44" s="6">
        <v>28</v>
      </c>
      <c r="C44" s="24" t="s">
        <v>87</v>
      </c>
      <c r="D44" s="18" t="s">
        <v>88</v>
      </c>
      <c r="E44" s="16" t="s">
        <v>89</v>
      </c>
      <c r="F44" s="11" t="str">
        <f t="shared" si="2"/>
        <v>Undone</v>
      </c>
      <c r="G44" s="12" t="b">
        <v>0</v>
      </c>
    </row>
    <row r="45" spans="2:7" ht="27.75" customHeight="1">
      <c r="B45" s="6">
        <v>29</v>
      </c>
      <c r="C45" s="16" t="s">
        <v>90</v>
      </c>
      <c r="D45" s="14" t="s">
        <v>91</v>
      </c>
      <c r="E45" s="16" t="s">
        <v>92</v>
      </c>
      <c r="F45" s="11" t="str">
        <f t="shared" si="2"/>
        <v>Undone</v>
      </c>
      <c r="G45" s="12" t="b">
        <v>0</v>
      </c>
    </row>
    <row r="46" spans="2:7" ht="25.5" customHeight="1">
      <c r="B46" s="6">
        <v>30</v>
      </c>
      <c r="C46" s="16" t="s">
        <v>93</v>
      </c>
      <c r="D46" s="21" t="s">
        <v>94</v>
      </c>
      <c r="E46" s="14" t="s">
        <v>95</v>
      </c>
      <c r="F46" s="11" t="str">
        <f t="shared" si="2"/>
        <v>Undone</v>
      </c>
      <c r="G46" s="12" t="b">
        <v>0</v>
      </c>
    </row>
    <row r="47" spans="2:7" ht="26.25">
      <c r="B47" s="29" t="s">
        <v>96</v>
      </c>
      <c r="C47" s="29"/>
      <c r="D47" s="29"/>
      <c r="E47" s="29"/>
      <c r="F47" s="29"/>
      <c r="G47" s="13"/>
    </row>
    <row r="48" spans="2:7" ht="31.5">
      <c r="B48" s="2" t="s">
        <v>0</v>
      </c>
      <c r="C48" s="2" t="s">
        <v>1</v>
      </c>
      <c r="D48" s="2" t="s">
        <v>2</v>
      </c>
      <c r="E48" s="2" t="s">
        <v>19</v>
      </c>
      <c r="F48" s="2" t="s">
        <v>3</v>
      </c>
      <c r="G48" s="13"/>
    </row>
    <row r="49" spans="2:7" ht="36" customHeight="1">
      <c r="B49" s="6">
        <v>31</v>
      </c>
      <c r="C49" s="15" t="s">
        <v>97</v>
      </c>
      <c r="D49" s="16" t="s">
        <v>98</v>
      </c>
      <c r="E49" s="25" t="s">
        <v>99</v>
      </c>
      <c r="F49" s="11" t="str">
        <f t="shared" si="2"/>
        <v>Undone</v>
      </c>
      <c r="G49" s="12" t="b">
        <v>0</v>
      </c>
    </row>
    <row r="50" spans="2:7" ht="23.25" customHeight="1">
      <c r="B50" s="6">
        <v>32</v>
      </c>
      <c r="C50" s="17" t="s">
        <v>100</v>
      </c>
      <c r="D50" s="26" t="s">
        <v>101</v>
      </c>
      <c r="E50" s="14" t="s">
        <v>102</v>
      </c>
      <c r="F50" s="11" t="str">
        <f t="shared" si="2"/>
        <v>Undone</v>
      </c>
      <c r="G50" s="12" t="b">
        <v>0</v>
      </c>
    </row>
    <row r="51" spans="2:7" ht="42" customHeight="1">
      <c r="B51" s="6">
        <v>33</v>
      </c>
      <c r="C51" s="16" t="s">
        <v>103</v>
      </c>
      <c r="D51" s="18" t="s">
        <v>104</v>
      </c>
      <c r="E51" s="16" t="s">
        <v>105</v>
      </c>
      <c r="F51" s="11" t="str">
        <f t="shared" si="2"/>
        <v>Undone</v>
      </c>
      <c r="G51" s="12" t="b">
        <v>0</v>
      </c>
    </row>
    <row r="52" spans="2:7" ht="26.25">
      <c r="B52" s="29" t="s">
        <v>106</v>
      </c>
      <c r="C52" s="29"/>
      <c r="D52" s="29"/>
      <c r="E52" s="29"/>
      <c r="F52" s="29"/>
      <c r="G52" s="13"/>
    </row>
    <row r="53" spans="2:7" ht="31.5">
      <c r="B53" s="2" t="s">
        <v>0</v>
      </c>
      <c r="C53" s="2" t="s">
        <v>1</v>
      </c>
      <c r="D53" s="2" t="s">
        <v>2</v>
      </c>
      <c r="E53" s="2" t="s">
        <v>19</v>
      </c>
      <c r="F53" s="2" t="s">
        <v>3</v>
      </c>
      <c r="G53" s="13"/>
    </row>
    <row r="54" spans="2:7" ht="39" customHeight="1">
      <c r="B54" s="6">
        <v>34</v>
      </c>
      <c r="C54" s="16" t="s">
        <v>107</v>
      </c>
      <c r="D54" s="16" t="s">
        <v>108</v>
      </c>
      <c r="E54" s="18" t="s">
        <v>109</v>
      </c>
      <c r="F54" s="11" t="str">
        <f t="shared" ref="F54:F55" si="3">IF(G54=FALSE,$I$7,$I$6)</f>
        <v>Undone</v>
      </c>
      <c r="G54" s="12" t="b">
        <v>0</v>
      </c>
    </row>
    <row r="55" spans="2:7" ht="21" customHeight="1">
      <c r="B55" s="6">
        <v>35</v>
      </c>
      <c r="C55" s="17" t="s">
        <v>110</v>
      </c>
      <c r="D55" s="16" t="s">
        <v>111</v>
      </c>
      <c r="E55" s="16" t="s">
        <v>112</v>
      </c>
      <c r="F55" s="11" t="str">
        <f t="shared" si="3"/>
        <v>Undone</v>
      </c>
      <c r="G55" s="12" t="b">
        <v>0</v>
      </c>
    </row>
    <row r="56" spans="2:7" ht="26.25">
      <c r="B56" s="29" t="s">
        <v>113</v>
      </c>
      <c r="C56" s="29"/>
      <c r="D56" s="29"/>
      <c r="E56" s="29"/>
      <c r="F56" s="29"/>
      <c r="G56" s="13"/>
    </row>
    <row r="57" spans="2:7" ht="31.5">
      <c r="B57" s="2" t="s">
        <v>0</v>
      </c>
      <c r="C57" s="2" t="s">
        <v>1</v>
      </c>
      <c r="D57" s="2" t="s">
        <v>2</v>
      </c>
      <c r="E57" s="2" t="s">
        <v>19</v>
      </c>
      <c r="F57" s="2" t="s">
        <v>3</v>
      </c>
      <c r="G57" s="13"/>
    </row>
    <row r="58" spans="2:7" ht="23.25" customHeight="1">
      <c r="B58" s="6">
        <v>36</v>
      </c>
      <c r="C58" s="17" t="s">
        <v>114</v>
      </c>
      <c r="D58" s="16" t="s">
        <v>117</v>
      </c>
      <c r="E58" s="21" t="s">
        <v>115</v>
      </c>
      <c r="F58" s="11" t="str">
        <f t="shared" ref="F58:F60" si="4">IF(G58=FALSE,$I$7,$I$6)</f>
        <v>Undone</v>
      </c>
      <c r="G58" s="12" t="b">
        <v>0</v>
      </c>
    </row>
    <row r="59" spans="2:7" ht="25.5" customHeight="1">
      <c r="B59" s="6">
        <v>37</v>
      </c>
      <c r="C59" s="15" t="s">
        <v>116</v>
      </c>
      <c r="D59" s="27" t="s">
        <v>118</v>
      </c>
      <c r="E59" s="28" t="s">
        <v>119</v>
      </c>
      <c r="F59" s="11" t="str">
        <f t="shared" si="4"/>
        <v>Undone</v>
      </c>
      <c r="G59" s="12" t="b">
        <v>0</v>
      </c>
    </row>
    <row r="60" spans="2:7" ht="33">
      <c r="B60" s="6">
        <v>38</v>
      </c>
      <c r="C60" s="17" t="s">
        <v>120</v>
      </c>
      <c r="D60" s="16" t="s">
        <v>121</v>
      </c>
      <c r="E60" s="22" t="s">
        <v>122</v>
      </c>
      <c r="F60" s="11" t="str">
        <f t="shared" si="4"/>
        <v>Undone</v>
      </c>
      <c r="G60" s="12" t="b">
        <v>0</v>
      </c>
    </row>
    <row r="61" spans="2:7" ht="26.25">
      <c r="B61" s="29" t="s">
        <v>123</v>
      </c>
      <c r="C61" s="29"/>
      <c r="D61" s="29"/>
      <c r="E61" s="29"/>
      <c r="F61" s="29"/>
      <c r="G61" s="13"/>
    </row>
    <row r="62" spans="2:7" ht="31.5">
      <c r="B62" s="2" t="s">
        <v>0</v>
      </c>
      <c r="C62" s="2" t="s">
        <v>1</v>
      </c>
      <c r="D62" s="2" t="s">
        <v>2</v>
      </c>
      <c r="E62" s="2" t="s">
        <v>19</v>
      </c>
      <c r="F62" s="2" t="s">
        <v>3</v>
      </c>
      <c r="G62" s="13"/>
    </row>
    <row r="63" spans="2:7" ht="16.5">
      <c r="B63" s="6">
        <v>39</v>
      </c>
      <c r="C63" s="16" t="s">
        <v>124</v>
      </c>
      <c r="D63" s="16" t="s">
        <v>125</v>
      </c>
      <c r="E63" s="36" t="s">
        <v>126</v>
      </c>
      <c r="F63" s="11" t="str">
        <f t="shared" ref="F63:F66" si="5">IF(G63=FALSE,$I$7,$I$6)</f>
        <v>Undone</v>
      </c>
      <c r="G63" s="12" t="b">
        <v>0</v>
      </c>
    </row>
    <row r="64" spans="2:7" ht="49.5">
      <c r="B64" s="6">
        <v>40</v>
      </c>
      <c r="C64" s="16" t="s">
        <v>144</v>
      </c>
      <c r="D64" s="18" t="s">
        <v>127</v>
      </c>
      <c r="E64" s="16" t="s">
        <v>128</v>
      </c>
      <c r="F64" s="11" t="str">
        <f t="shared" si="5"/>
        <v>Undone</v>
      </c>
      <c r="G64" s="12" t="b">
        <v>0</v>
      </c>
    </row>
    <row r="65" spans="2:7" ht="33">
      <c r="B65" s="6">
        <v>41</v>
      </c>
      <c r="C65" s="17" t="s">
        <v>129</v>
      </c>
      <c r="D65" s="18" t="s">
        <v>131</v>
      </c>
      <c r="E65" s="16" t="s">
        <v>132</v>
      </c>
      <c r="F65" s="11" t="str">
        <f t="shared" si="5"/>
        <v>Undone</v>
      </c>
      <c r="G65" s="12" t="b">
        <v>0</v>
      </c>
    </row>
    <row r="66" spans="2:7" ht="16.5">
      <c r="B66" s="6">
        <v>42</v>
      </c>
      <c r="C66" s="17" t="s">
        <v>130</v>
      </c>
      <c r="D66" s="16" t="s">
        <v>133</v>
      </c>
      <c r="E66" s="16" t="s">
        <v>134</v>
      </c>
      <c r="F66" s="11" t="str">
        <f t="shared" si="5"/>
        <v>Undone</v>
      </c>
      <c r="G66" s="12" t="b">
        <v>0</v>
      </c>
    </row>
    <row r="67" spans="2:7" ht="26.25">
      <c r="B67" s="29" t="s">
        <v>135</v>
      </c>
      <c r="C67" s="29"/>
      <c r="D67" s="29"/>
      <c r="E67" s="29"/>
      <c r="F67" s="29"/>
      <c r="G67" s="13"/>
    </row>
    <row r="68" spans="2:7" ht="31.5">
      <c r="B68" s="2" t="s">
        <v>0</v>
      </c>
      <c r="C68" s="2" t="s">
        <v>1</v>
      </c>
      <c r="D68" s="2" t="s">
        <v>2</v>
      </c>
      <c r="E68" s="2" t="s">
        <v>19</v>
      </c>
      <c r="F68" s="2" t="s">
        <v>3</v>
      </c>
      <c r="G68" s="13"/>
    </row>
    <row r="69" spans="2:7" ht="16.5">
      <c r="B69" s="6">
        <v>43</v>
      </c>
      <c r="C69" s="17" t="s">
        <v>136</v>
      </c>
      <c r="D69" s="16" t="s">
        <v>141</v>
      </c>
      <c r="E69" s="16" t="s">
        <v>138</v>
      </c>
      <c r="F69" s="11" t="str">
        <f t="shared" ref="F69:F71" si="6">IF(G69=FALSE,$I$7,$I$6)</f>
        <v>Undone</v>
      </c>
      <c r="G69" s="12" t="b">
        <v>0</v>
      </c>
    </row>
    <row r="70" spans="2:7" ht="16.5">
      <c r="B70" s="6">
        <v>44</v>
      </c>
      <c r="C70" s="17" t="s">
        <v>137</v>
      </c>
      <c r="D70" s="16" t="s">
        <v>142</v>
      </c>
      <c r="E70" s="16" t="s">
        <v>138</v>
      </c>
      <c r="F70" s="11" t="str">
        <f t="shared" si="6"/>
        <v>Undone</v>
      </c>
      <c r="G70" s="12" t="b">
        <v>0</v>
      </c>
    </row>
    <row r="71" spans="2:7" ht="16.5">
      <c r="B71" s="6">
        <v>45</v>
      </c>
      <c r="C71" s="17" t="s">
        <v>139</v>
      </c>
      <c r="D71" s="16" t="s">
        <v>143</v>
      </c>
      <c r="E71" s="16" t="s">
        <v>140</v>
      </c>
      <c r="F71" s="11" t="str">
        <f t="shared" si="6"/>
        <v>Undone</v>
      </c>
      <c r="G71" s="12" t="b">
        <v>0</v>
      </c>
    </row>
    <row r="75" spans="2:7" ht="26.25">
      <c r="B75" s="37" t="s">
        <v>145</v>
      </c>
      <c r="C75" s="37"/>
      <c r="D75" s="37"/>
      <c r="E75" s="37"/>
      <c r="F75" s="37"/>
      <c r="G75" s="13"/>
    </row>
    <row r="76" spans="2:7" ht="31.5">
      <c r="B76" s="38" t="s">
        <v>0</v>
      </c>
      <c r="C76" s="38" t="s">
        <v>1</v>
      </c>
      <c r="D76" s="38" t="s">
        <v>2</v>
      </c>
      <c r="E76" s="38" t="s">
        <v>3</v>
      </c>
      <c r="F76" s="38" t="s">
        <v>3</v>
      </c>
    </row>
    <row r="77" spans="2:7" ht="16.5">
      <c r="B77" s="39">
        <v>1</v>
      </c>
      <c r="C77" s="45" t="s">
        <v>146</v>
      </c>
      <c r="D77" s="41" t="s">
        <v>160</v>
      </c>
      <c r="E77" s="41"/>
      <c r="F77" s="40" t="str">
        <f t="shared" ref="F77:F84" si="7">IF(G77=FALSE,$I$7,$I$6)</f>
        <v>Undone</v>
      </c>
      <c r="G77" s="12" t="b">
        <v>0</v>
      </c>
    </row>
    <row r="78" spans="2:7" ht="16.5">
      <c r="B78" s="39">
        <v>2</v>
      </c>
      <c r="C78" s="45" t="s">
        <v>147</v>
      </c>
      <c r="D78" s="41" t="s">
        <v>159</v>
      </c>
      <c r="E78" s="41"/>
      <c r="F78" s="40" t="str">
        <f t="shared" si="7"/>
        <v>Undone</v>
      </c>
      <c r="G78" s="12" t="b">
        <v>0</v>
      </c>
    </row>
    <row r="79" spans="2:7" ht="49.5" customHeight="1">
      <c r="B79" s="39">
        <v>3</v>
      </c>
      <c r="C79" s="45" t="s">
        <v>148</v>
      </c>
      <c r="D79" s="42" t="s">
        <v>158</v>
      </c>
      <c r="E79" s="42"/>
      <c r="F79" s="40" t="str">
        <f t="shared" si="7"/>
        <v>Undone</v>
      </c>
      <c r="G79" s="12" t="b">
        <v>0</v>
      </c>
    </row>
    <row r="80" spans="2:7" ht="33" customHeight="1">
      <c r="B80" s="39">
        <v>4</v>
      </c>
      <c r="C80" s="45" t="s">
        <v>149</v>
      </c>
      <c r="D80" s="43" t="s">
        <v>150</v>
      </c>
      <c r="E80" s="43"/>
      <c r="F80" s="40" t="str">
        <f t="shared" si="7"/>
        <v>Undone</v>
      </c>
      <c r="G80" s="12" t="b">
        <v>0</v>
      </c>
    </row>
    <row r="81" spans="2:7" ht="16.5">
      <c r="B81" s="39">
        <v>5</v>
      </c>
      <c r="C81" s="45" t="s">
        <v>84</v>
      </c>
      <c r="D81" s="41" t="s">
        <v>157</v>
      </c>
      <c r="E81" s="41"/>
      <c r="F81" s="40" t="str">
        <f t="shared" si="7"/>
        <v>Undone</v>
      </c>
      <c r="G81" s="12" t="b">
        <v>0</v>
      </c>
    </row>
    <row r="82" spans="2:7" ht="49.5" customHeight="1">
      <c r="B82" s="39">
        <v>6</v>
      </c>
      <c r="C82" s="45" t="s">
        <v>151</v>
      </c>
      <c r="D82" s="44" t="s">
        <v>152</v>
      </c>
      <c r="E82" s="44"/>
      <c r="F82" s="40" t="str">
        <f t="shared" si="7"/>
        <v>Undone</v>
      </c>
      <c r="G82" s="12" t="b">
        <v>0</v>
      </c>
    </row>
    <row r="83" spans="2:7" ht="82.5" customHeight="1">
      <c r="B83" s="39">
        <v>7</v>
      </c>
      <c r="C83" s="45" t="s">
        <v>153</v>
      </c>
      <c r="D83" s="42" t="s">
        <v>156</v>
      </c>
      <c r="E83" s="42"/>
      <c r="F83" s="40" t="str">
        <f t="shared" si="7"/>
        <v>Undone</v>
      </c>
      <c r="G83" s="12" t="b">
        <v>0</v>
      </c>
    </row>
    <row r="84" spans="2:7" ht="16.5">
      <c r="B84" s="39">
        <v>8</v>
      </c>
      <c r="C84" s="45" t="s">
        <v>154</v>
      </c>
      <c r="D84" s="41" t="s">
        <v>155</v>
      </c>
      <c r="E84" s="41"/>
      <c r="F84" s="40" t="str">
        <f t="shared" si="7"/>
        <v>Undone</v>
      </c>
      <c r="G84" s="12" t="b">
        <v>0</v>
      </c>
    </row>
  </sheetData>
  <mergeCells count="28">
    <mergeCell ref="D80:E80"/>
    <mergeCell ref="D81:E81"/>
    <mergeCell ref="D82:E82"/>
    <mergeCell ref="D83:E83"/>
    <mergeCell ref="D84:E84"/>
    <mergeCell ref="B67:F67"/>
    <mergeCell ref="B75:F75"/>
    <mergeCell ref="D77:E77"/>
    <mergeCell ref="D78:E78"/>
    <mergeCell ref="D79:E79"/>
    <mergeCell ref="B12:F12"/>
    <mergeCell ref="B5:F5"/>
    <mergeCell ref="B4:F4"/>
    <mergeCell ref="D11:E11"/>
    <mergeCell ref="B61:F61"/>
    <mergeCell ref="D7:E7"/>
    <mergeCell ref="D8:E8"/>
    <mergeCell ref="D9:E9"/>
    <mergeCell ref="D10:E10"/>
    <mergeCell ref="B3:F3"/>
    <mergeCell ref="B6:F6"/>
    <mergeCell ref="B52:F52"/>
    <mergeCell ref="B56:F56"/>
    <mergeCell ref="B23:F23"/>
    <mergeCell ref="B31:F31"/>
    <mergeCell ref="B37:F37"/>
    <mergeCell ref="B42:F42"/>
    <mergeCell ref="B47:F47"/>
  </mergeCells>
  <conditionalFormatting sqref="F8:F11 F14:F19 F25:F30">
    <cfRule type="expression" dxfId="51" priority="43">
      <formula>(F8:F11="Pass")=TRUE</formula>
    </cfRule>
  </conditionalFormatting>
  <conditionalFormatting sqref="F8:F11 F14:F19 F30">
    <cfRule type="expression" dxfId="50" priority="44">
      <formula>$F2="Undone"</formula>
    </cfRule>
  </conditionalFormatting>
  <conditionalFormatting sqref="F20:F22">
    <cfRule type="expression" dxfId="49" priority="49">
      <formula>(F20:F24="Pass")=TRUE</formula>
    </cfRule>
    <cfRule type="expression" dxfId="48" priority="50">
      <formula>$F14="Undone"</formula>
    </cfRule>
  </conditionalFormatting>
  <conditionalFormatting sqref="F33 F25:F29">
    <cfRule type="expression" dxfId="47" priority="48">
      <formula>$F18="Undone"</formula>
    </cfRule>
  </conditionalFormatting>
  <conditionalFormatting sqref="F33">
    <cfRule type="expression" dxfId="46" priority="47">
      <formula>(F33:F36="Pass")=TRUE</formula>
    </cfRule>
  </conditionalFormatting>
  <conditionalFormatting sqref="F34:F35">
    <cfRule type="expression" dxfId="45" priority="55">
      <formula>(F34:F36="Pass")=TRUE</formula>
    </cfRule>
    <cfRule type="expression" dxfId="44" priority="56">
      <formula>$F27="Undone"</formula>
    </cfRule>
  </conditionalFormatting>
  <conditionalFormatting sqref="F36">
    <cfRule type="expression" dxfId="43" priority="53">
      <formula>(F36:F37="Pass")=TRUE</formula>
    </cfRule>
    <cfRule type="expression" dxfId="42" priority="54">
      <formula>$F29="Undone"</formula>
    </cfRule>
  </conditionalFormatting>
  <conditionalFormatting sqref="F39:F41">
    <cfRule type="expression" dxfId="41" priority="57">
      <formula>(F39:F42="Pass")=TRUE</formula>
    </cfRule>
    <cfRule type="expression" dxfId="40" priority="58">
      <formula>$F34="Undone"</formula>
    </cfRule>
  </conditionalFormatting>
  <conditionalFormatting sqref="F44">
    <cfRule type="expression" dxfId="39" priority="33">
      <formula>(F44:F47="Pass")=TRUE</formula>
    </cfRule>
    <cfRule type="expression" dxfId="38" priority="34">
      <formula>$F37="Undone"</formula>
    </cfRule>
  </conditionalFormatting>
  <conditionalFormatting sqref="F45:F46">
    <cfRule type="expression" dxfId="37" priority="37">
      <formula>(F45:F47="Pass")=TRUE</formula>
    </cfRule>
    <cfRule type="expression" dxfId="36" priority="38">
      <formula>$F38="Undone"</formula>
    </cfRule>
  </conditionalFormatting>
  <conditionalFormatting sqref="F49">
    <cfRule type="expression" dxfId="35" priority="29">
      <formula>(F49:F52="Pass")=TRUE</formula>
    </cfRule>
    <cfRule type="expression" dxfId="34" priority="30">
      <formula>$F42="Undone"</formula>
    </cfRule>
  </conditionalFormatting>
  <conditionalFormatting sqref="F50:F51">
    <cfRule type="expression" dxfId="33" priority="31">
      <formula>(F50:F52="Pass")=TRUE</formula>
    </cfRule>
    <cfRule type="expression" dxfId="32" priority="32">
      <formula>$F43="Undone"</formula>
    </cfRule>
  </conditionalFormatting>
  <conditionalFormatting sqref="F54">
    <cfRule type="expression" dxfId="31" priority="25">
      <formula>(F54:F57="Pass")=TRUE</formula>
    </cfRule>
    <cfRule type="expression" dxfId="30" priority="26">
      <formula>$F47="Undone"</formula>
    </cfRule>
  </conditionalFormatting>
  <conditionalFormatting sqref="F55">
    <cfRule type="expression" dxfId="29" priority="27">
      <formula>(F55:F57="Pass")=TRUE</formula>
    </cfRule>
    <cfRule type="expression" dxfId="28" priority="28">
      <formula>$F48="Undone"</formula>
    </cfRule>
  </conditionalFormatting>
  <conditionalFormatting sqref="F58">
    <cfRule type="expression" dxfId="27" priority="21">
      <formula>(F58:F61="Pass")=TRUE</formula>
    </cfRule>
    <cfRule type="expression" dxfId="26" priority="22">
      <formula>$F51="Undone"</formula>
    </cfRule>
  </conditionalFormatting>
  <conditionalFormatting sqref="F59:F60">
    <cfRule type="expression" dxfId="25" priority="23">
      <formula>(F59:F61="Pass")=TRUE</formula>
    </cfRule>
    <cfRule type="expression" dxfId="24" priority="24">
      <formula>$F52="Undone"</formula>
    </cfRule>
  </conditionalFormatting>
  <conditionalFormatting sqref="F63">
    <cfRule type="expression" dxfId="23" priority="16">
      <formula>$F56="Undone"</formula>
    </cfRule>
  </conditionalFormatting>
  <conditionalFormatting sqref="F63">
    <cfRule type="expression" dxfId="22" priority="15">
      <formula>(F63:F66="Pass")=TRUE</formula>
    </cfRule>
  </conditionalFormatting>
  <conditionalFormatting sqref="F64:F65">
    <cfRule type="expression" dxfId="21" priority="19">
      <formula>(F64:F66="Pass")=TRUE</formula>
    </cfRule>
    <cfRule type="expression" dxfId="20" priority="20">
      <formula>$F57="Undone"</formula>
    </cfRule>
  </conditionalFormatting>
  <conditionalFormatting sqref="F66">
    <cfRule type="expression" dxfId="19" priority="17">
      <formula>(F66:F67="Pass")=TRUE</formula>
    </cfRule>
    <cfRule type="expression" dxfId="18" priority="18">
      <formula>$F59="Undone"</formula>
    </cfRule>
  </conditionalFormatting>
  <conditionalFormatting sqref="F69">
    <cfRule type="expression" dxfId="17" priority="11">
      <formula>(F69:F72="Pass")=TRUE</formula>
    </cfRule>
    <cfRule type="expression" dxfId="16" priority="12">
      <formula>$F62="Undone"</formula>
    </cfRule>
  </conditionalFormatting>
  <conditionalFormatting sqref="F70:F71">
    <cfRule type="expression" dxfId="15" priority="13">
      <formula>(F70:F72="Pass")=TRUE</formula>
    </cfRule>
    <cfRule type="expression" dxfId="14" priority="14">
      <formula>$F63="Undone"</formula>
    </cfRule>
  </conditionalFormatting>
  <conditionalFormatting sqref="F77 F81">
    <cfRule type="expression" dxfId="5" priority="2">
      <formula>$F70="Undone"</formula>
    </cfRule>
  </conditionalFormatting>
  <conditionalFormatting sqref="F77 F81">
    <cfRule type="expression" dxfId="4" priority="1">
      <formula>(F77:F80="Pass")=TRUE</formula>
    </cfRule>
  </conditionalFormatting>
  <conditionalFormatting sqref="F78:F79 F82:F83">
    <cfRule type="expression" dxfId="3" priority="5">
      <formula>(F78:F80="Pass")=TRUE</formula>
    </cfRule>
    <cfRule type="expression" dxfId="2" priority="6">
      <formula>$F71="Undone"</formula>
    </cfRule>
  </conditionalFormatting>
  <conditionalFormatting sqref="F80 F84">
    <cfRule type="expression" dxfId="1" priority="3">
      <formula>(F80:F81="Pass")=TRUE</formula>
    </cfRule>
    <cfRule type="expression" dxfId="0" priority="4">
      <formula>$F73="Undone"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2026-03-20T09:07:05Z</dcterms:modified>
</cp:coreProperties>
</file>